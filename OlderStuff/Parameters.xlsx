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 2" sheetId="1" r:id="rId4"/>
    <sheet state="visible" name="Pass 1" sheetId="2" r:id="rId5"/>
    <sheet state="visible" name="Final" sheetId="3" r:id="rId6"/>
    <sheet state="visible" name="Sheet2" sheetId="4" r:id="rId7"/>
  </sheets>
  <definedNames/>
  <calcPr/>
</workbook>
</file>

<file path=xl/sharedStrings.xml><?xml version="1.0" encoding="utf-8"?>
<sst xmlns="http://schemas.openxmlformats.org/spreadsheetml/2006/main" count="190" uniqueCount="85">
  <si>
    <t>WT</t>
  </si>
  <si>
    <t>Min</t>
  </si>
  <si>
    <t>Max</t>
  </si>
  <si>
    <t># points</t>
  </si>
  <si>
    <t>Ua</t>
  </si>
  <si>
    <t>degradation rate for A</t>
  </si>
  <si>
    <t>Ui</t>
  </si>
  <si>
    <t>degradation rate for I</t>
  </si>
  <si>
    <t>Ga</t>
  </si>
  <si>
    <t>self-activation of A by A</t>
  </si>
  <si>
    <t>Ba</t>
  </si>
  <si>
    <t>Inhibition of A by I</t>
  </si>
  <si>
    <t>Ca</t>
  </si>
  <si>
    <t>background production of A</t>
  </si>
  <si>
    <t>Da</t>
  </si>
  <si>
    <t>Diffusion rate of A</t>
  </si>
  <si>
    <t>Gi</t>
  </si>
  <si>
    <t>Activation of I by A</t>
  </si>
  <si>
    <t>Bi</t>
  </si>
  <si>
    <t>Self inhibition of I by I</t>
  </si>
  <si>
    <t>Ci</t>
  </si>
  <si>
    <t>Background production of I</t>
  </si>
  <si>
    <t>Di</t>
  </si>
  <si>
    <t>diffusion rate of I</t>
  </si>
  <si>
    <t>Combined min and max</t>
  </si>
  <si>
    <t>0.0067,0.055</t>
  </si>
  <si>
    <t>0.035,0.25</t>
  </si>
  <si>
    <t>0.0552,0.243</t>
  </si>
  <si>
    <t>-0.315,-0.0307</t>
  </si>
  <si>
    <t>0,0.03</t>
  </si>
  <si>
    <t>0.017,0.26</t>
  </si>
  <si>
    <t>0.143,3</t>
  </si>
  <si>
    <t>Inf</t>
  </si>
  <si>
    <t>Middle</t>
  </si>
  <si>
    <t>0.0083,0.02265,0.037</t>
  </si>
  <si>
    <t>0.045,0.1425,0.24</t>
  </si>
  <si>
    <t>0.075,0.1425,0.21</t>
  </si>
  <si>
    <t>-0.138,-0.088,-0.038</t>
  </si>
  <si>
    <t>0,0.0065,0.013</t>
  </si>
  <si>
    <t>0.0227,0.07135,0.12</t>
  </si>
  <si>
    <t>0.5,1.75,3</t>
  </si>
  <si>
    <t>exported?</t>
  </si>
  <si>
    <t>('Ua', 'Ui', 'Ga', 'Gi')</t>
  </si>
  <si>
    <t>Y</t>
  </si>
  <si>
    <t>('Ua', 'Gi', 'Da', 'Ba')</t>
  </si>
  <si>
    <t>('Ua', 'Ui', 'Ga', 'Da')</t>
  </si>
  <si>
    <t>('Ua', 'Gi', 'Di', 'Ba')</t>
  </si>
  <si>
    <t>('Ua', 'Ui', 'Ga', 'Di')</t>
  </si>
  <si>
    <t>('Ua', 'Da', 'Di', 'Ba')</t>
  </si>
  <si>
    <t>('Ua', 'Ui', 'Ga', 'Ba')</t>
  </si>
  <si>
    <t>('Ui', 'Ga', 'Gi', 'Da')</t>
  </si>
  <si>
    <t>('Ua', 'Ui', 'Gi', 'Da')</t>
  </si>
  <si>
    <t>('Ui', 'Ga', 'Gi', 'Di')</t>
  </si>
  <si>
    <t>('Ua', 'Ui', 'Gi', 'Di')</t>
  </si>
  <si>
    <t>('Ui', 'Ga', 'Gi', 'Ba')</t>
  </si>
  <si>
    <t>('Ua', 'Ui', 'Gi', 'Ba')</t>
  </si>
  <si>
    <t>('Ui', 'Ga', 'Da', 'Di')</t>
  </si>
  <si>
    <t>Param</t>
  </si>
  <si>
    <t>Significance</t>
  </si>
  <si>
    <t>('Ua', 'Ui', 'Da', 'Di')</t>
  </si>
  <si>
    <t>('Ui', 'Ga', 'Da', 'Ba')</t>
  </si>
  <si>
    <t>('Ua', 'Ui', 'Da', 'Ba')</t>
  </si>
  <si>
    <t>('Ui', 'Ga', 'Di', 'Ba')</t>
  </si>
  <si>
    <t>('Ua', 'Ui', 'Di', 'Ba')</t>
  </si>
  <si>
    <t>('Ui', 'Gi', 'Da', 'Di')</t>
  </si>
  <si>
    <t>('Ua', 'Ga', 'Gi', 'Da')</t>
  </si>
  <si>
    <t>('Ui', 'Gi', 'Da', 'Ba')</t>
  </si>
  <si>
    <t>('Ua', 'Ga', 'Gi', 'Di')</t>
  </si>
  <si>
    <t>('Ui', 'Gi', 'Di', 'Ba')</t>
  </si>
  <si>
    <t>('Ua', 'Ga', 'Gi', 'Ba')</t>
  </si>
  <si>
    <t>('Ui', 'Da', 'Di', 'Ba')</t>
  </si>
  <si>
    <t>('Ua', 'Ga', 'Da', 'Di')</t>
  </si>
  <si>
    <t>('Ga', 'Gi', 'Da', 'Di')</t>
  </si>
  <si>
    <t>('Ua', 'Ga', 'Da', 'Ba')</t>
  </si>
  <si>
    <t>('Ga', 'Gi', 'Da', 'Ba')</t>
  </si>
  <si>
    <t>('Ua', 'Ga', 'Di', 'Ba')</t>
  </si>
  <si>
    <t>('Ga', 'Gi', 'Di', 'Ba')</t>
  </si>
  <si>
    <t>('Ua', 'Gi', 'Da', 'Di')</t>
  </si>
  <si>
    <t>('Ga', 'Da', 'Di', 'Ba')</t>
  </si>
  <si>
    <t>('Gi', 'Da', 'Di', 'Ba')</t>
  </si>
  <si>
    <t>Features</t>
  </si>
  <si>
    <t>Params</t>
  </si>
  <si>
    <t>Num spots</t>
  </si>
  <si>
    <t>Spot size</t>
  </si>
  <si>
    <t>etc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</si>
</sst>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i/>
      <color theme="1"/>
      <name val="Arial"/>
      <scheme val="minor"/>
    </font>
    <font>
      <strike/>
      <color rgb="FF0000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4" fontId="1" numFmtId="0" xfId="0" applyFill="1" applyFont="1"/>
    <xf borderId="0" fillId="5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9.25"/>
    <col customWidth="1" min="4" max="4" width="8.0"/>
    <col customWidth="1" min="5" max="5" width="9.88"/>
  </cols>
  <sheetData>
    <row r="1">
      <c r="C1" s="1" t="s">
        <v>0</v>
      </c>
      <c r="D1" s="1" t="s">
        <v>1</v>
      </c>
      <c r="E1" s="1" t="s">
        <v>2</v>
      </c>
      <c r="F1" s="1" t="s">
        <v>3</v>
      </c>
    </row>
    <row r="3">
      <c r="A3" s="2" t="s">
        <v>4</v>
      </c>
      <c r="B3" s="2" t="s">
        <v>5</v>
      </c>
      <c r="C3" s="1">
        <v>0.03</v>
      </c>
      <c r="D3" s="1">
        <v>0.0067</v>
      </c>
      <c r="E3" s="1">
        <v>0.055</v>
      </c>
      <c r="F3" s="1">
        <v>3.0</v>
      </c>
    </row>
    <row r="4">
      <c r="A4" s="2" t="s">
        <v>6</v>
      </c>
      <c r="B4" s="2" t="s">
        <v>7</v>
      </c>
      <c r="C4" s="1">
        <v>0.07</v>
      </c>
      <c r="D4" s="1">
        <v>0.035</v>
      </c>
      <c r="E4" s="1">
        <v>0.25</v>
      </c>
      <c r="F4" s="1">
        <v>3.0</v>
      </c>
    </row>
    <row r="5">
      <c r="A5" s="2" t="s">
        <v>8</v>
      </c>
      <c r="B5" s="2" t="s">
        <v>9</v>
      </c>
      <c r="C5" s="1">
        <v>0.08</v>
      </c>
      <c r="D5" s="1">
        <v>0.0552</v>
      </c>
      <c r="E5" s="1">
        <v>0.243</v>
      </c>
      <c r="F5" s="1">
        <v>3.0</v>
      </c>
    </row>
    <row r="6">
      <c r="A6" s="2" t="s">
        <v>10</v>
      </c>
      <c r="B6" s="2" t="s">
        <v>11</v>
      </c>
      <c r="C6" s="1">
        <v>-0.12</v>
      </c>
      <c r="D6" s="1">
        <v>-0.315</v>
      </c>
      <c r="E6" s="1">
        <v>-0.0307</v>
      </c>
      <c r="F6" s="1">
        <v>3.0</v>
      </c>
    </row>
    <row r="7">
      <c r="A7" s="2" t="s">
        <v>12</v>
      </c>
      <c r="B7" s="2" t="s">
        <v>13</v>
      </c>
      <c r="C7" s="1">
        <v>0.005</v>
      </c>
      <c r="D7" s="1">
        <v>0.005</v>
      </c>
      <c r="E7" s="1">
        <v>0.005</v>
      </c>
      <c r="F7" s="1">
        <v>1.0</v>
      </c>
    </row>
    <row r="8">
      <c r="A8" s="2" t="s">
        <v>14</v>
      </c>
      <c r="B8" s="2" t="s">
        <v>15</v>
      </c>
      <c r="C8" s="1">
        <v>0.01</v>
      </c>
      <c r="D8" s="1">
        <v>0.0</v>
      </c>
      <c r="E8" s="1">
        <v>0.03</v>
      </c>
      <c r="F8" s="1">
        <v>3.0</v>
      </c>
    </row>
    <row r="9">
      <c r="A9" s="2" t="s">
        <v>16</v>
      </c>
      <c r="B9" s="2" t="s">
        <v>17</v>
      </c>
      <c r="C9" s="1">
        <v>0.1</v>
      </c>
      <c r="D9" s="1">
        <v>0.017</v>
      </c>
      <c r="E9" s="1">
        <v>0.26</v>
      </c>
      <c r="F9" s="1">
        <v>3.0</v>
      </c>
    </row>
    <row r="10">
      <c r="A10" s="2" t="s">
        <v>18</v>
      </c>
      <c r="B10" s="2" t="s">
        <v>19</v>
      </c>
      <c r="C10" s="1">
        <v>0.0</v>
      </c>
      <c r="D10" s="1">
        <v>0.0</v>
      </c>
      <c r="E10" s="1">
        <v>0.0</v>
      </c>
      <c r="F10" s="1">
        <v>1.0</v>
      </c>
    </row>
    <row r="11">
      <c r="A11" s="2" t="s">
        <v>20</v>
      </c>
      <c r="B11" s="2" t="s">
        <v>21</v>
      </c>
      <c r="C11" s="1">
        <v>0.0</v>
      </c>
      <c r="D11" s="1">
        <v>0.0</v>
      </c>
      <c r="E11" s="1">
        <v>0.0</v>
      </c>
      <c r="F11" s="1">
        <v>1.0</v>
      </c>
    </row>
    <row r="12">
      <c r="A12" s="2" t="s">
        <v>22</v>
      </c>
      <c r="B12" s="2" t="s">
        <v>23</v>
      </c>
      <c r="C12" s="1">
        <v>0.5</v>
      </c>
      <c r="D12" s="1">
        <v>0.143</v>
      </c>
      <c r="E12" s="3">
        <v>3.0</v>
      </c>
      <c r="F12" s="1">
        <v>3.0</v>
      </c>
    </row>
    <row r="14">
      <c r="C14" s="1" t="s">
        <v>0</v>
      </c>
      <c r="D14" s="1" t="s">
        <v>1</v>
      </c>
      <c r="E14" s="1" t="s">
        <v>2</v>
      </c>
      <c r="F14" s="1" t="s">
        <v>3</v>
      </c>
      <c r="H14" s="1" t="s">
        <v>24</v>
      </c>
    </row>
    <row r="15">
      <c r="A15" s="2" t="s">
        <v>4</v>
      </c>
      <c r="B15" s="2" t="s">
        <v>5</v>
      </c>
      <c r="C15" s="1">
        <v>0.03</v>
      </c>
      <c r="D15" s="1">
        <v>0.0067</v>
      </c>
      <c r="E15" s="1">
        <v>0.055</v>
      </c>
      <c r="F15" s="1">
        <v>3.0</v>
      </c>
      <c r="H15" s="4" t="str">
        <f>IFERROR(__xludf.DUMMYFUNCTION("JOIN("","",D15,E15)"),"0.0067,0.055")</f>
        <v>0.0067,0.055</v>
      </c>
      <c r="J15" s="4" t="s">
        <v>25</v>
      </c>
    </row>
    <row r="16">
      <c r="A16" s="2" t="s">
        <v>6</v>
      </c>
      <c r="B16" s="2" t="s">
        <v>7</v>
      </c>
      <c r="C16" s="1">
        <v>0.07</v>
      </c>
      <c r="D16" s="1">
        <v>0.035</v>
      </c>
      <c r="E16" s="1">
        <v>0.25</v>
      </c>
      <c r="F16" s="1">
        <v>3.0</v>
      </c>
      <c r="H16" s="4" t="str">
        <f>IFERROR(__xludf.DUMMYFUNCTION("JOIN("","",D16,E16)"),"0.035,0.25")</f>
        <v>0.035,0.25</v>
      </c>
      <c r="J16" s="4" t="s">
        <v>26</v>
      </c>
    </row>
    <row r="17">
      <c r="A17" s="2" t="s">
        <v>8</v>
      </c>
      <c r="B17" s="2" t="s">
        <v>9</v>
      </c>
      <c r="C17" s="1">
        <v>0.08</v>
      </c>
      <c r="D17" s="1">
        <v>0.0552</v>
      </c>
      <c r="E17" s="1">
        <v>0.243</v>
      </c>
      <c r="F17" s="1">
        <v>3.0</v>
      </c>
      <c r="H17" s="4" t="str">
        <f>IFERROR(__xludf.DUMMYFUNCTION("JOIN("","",D17,E17)"),"0.0552,0.243")</f>
        <v>0.0552,0.243</v>
      </c>
      <c r="J17" s="4" t="s">
        <v>27</v>
      </c>
    </row>
    <row r="18">
      <c r="A18" s="2" t="s">
        <v>10</v>
      </c>
      <c r="B18" s="2" t="s">
        <v>11</v>
      </c>
      <c r="C18" s="1">
        <v>-0.12</v>
      </c>
      <c r="D18" s="1">
        <v>-0.315</v>
      </c>
      <c r="E18" s="1">
        <v>-0.0307</v>
      </c>
      <c r="F18" s="1">
        <v>3.0</v>
      </c>
      <c r="H18" s="4" t="str">
        <f>IFERROR(__xludf.DUMMYFUNCTION("JOIN("","",D18,E18)"),"-0.315,-0.0307")</f>
        <v>-0.315,-0.0307</v>
      </c>
      <c r="J18" s="4" t="s">
        <v>28</v>
      </c>
    </row>
    <row r="19">
      <c r="A19" s="2" t="s">
        <v>14</v>
      </c>
      <c r="B19" s="2" t="s">
        <v>15</v>
      </c>
      <c r="C19" s="1">
        <v>0.01</v>
      </c>
      <c r="D19" s="1">
        <v>0.0</v>
      </c>
      <c r="E19" s="1">
        <v>0.03</v>
      </c>
      <c r="F19" s="1">
        <v>3.0</v>
      </c>
      <c r="H19" s="4" t="str">
        <f>IFERROR(__xludf.DUMMYFUNCTION("JOIN("","",D19,E19)"),"0,0.03")</f>
        <v>0,0.03</v>
      </c>
      <c r="J19" s="4" t="s">
        <v>29</v>
      </c>
    </row>
    <row r="20">
      <c r="A20" s="2" t="s">
        <v>16</v>
      </c>
      <c r="B20" s="2" t="s">
        <v>17</v>
      </c>
      <c r="C20" s="1">
        <v>0.1</v>
      </c>
      <c r="D20" s="1">
        <v>0.017</v>
      </c>
      <c r="E20" s="1">
        <v>0.26</v>
      </c>
      <c r="F20" s="1">
        <v>3.0</v>
      </c>
      <c r="H20" s="4" t="str">
        <f>IFERROR(__xludf.DUMMYFUNCTION("JOIN("","",D20,E20)"),"0.017,0.26")</f>
        <v>0.017,0.26</v>
      </c>
      <c r="J20" s="4" t="s">
        <v>30</v>
      </c>
    </row>
    <row r="21">
      <c r="A21" s="2" t="s">
        <v>22</v>
      </c>
      <c r="B21" s="2" t="s">
        <v>23</v>
      </c>
      <c r="C21" s="1">
        <v>0.5</v>
      </c>
      <c r="D21" s="1">
        <v>0.143</v>
      </c>
      <c r="E21" s="3">
        <v>3.0</v>
      </c>
      <c r="F21" s="1">
        <v>3.0</v>
      </c>
      <c r="H21" s="4" t="str">
        <f>IFERROR(__xludf.DUMMYFUNCTION("JOIN("","",D21,E21)"),"0.143,3")</f>
        <v>0.143,3</v>
      </c>
      <c r="J21" s="4" t="s">
        <v>31</v>
      </c>
    </row>
    <row r="22">
      <c r="A22" s="2"/>
      <c r="B22" s="2"/>
    </row>
    <row r="23">
      <c r="A23" s="2"/>
      <c r="B2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9.25"/>
    <col customWidth="1" min="4" max="4" width="8.0"/>
    <col customWidth="1" min="5" max="5" width="9.88"/>
  </cols>
  <sheetData>
    <row r="1">
      <c r="C1" s="1" t="s">
        <v>0</v>
      </c>
      <c r="D1" s="1" t="s">
        <v>1</v>
      </c>
      <c r="E1" s="1" t="s">
        <v>2</v>
      </c>
      <c r="F1" s="1" t="s">
        <v>3</v>
      </c>
    </row>
    <row r="3">
      <c r="A3" s="2" t="s">
        <v>4</v>
      </c>
      <c r="B3" s="2" t="s">
        <v>5</v>
      </c>
      <c r="C3" s="1">
        <v>0.03</v>
      </c>
      <c r="D3" s="1">
        <v>0.0067</v>
      </c>
      <c r="E3" s="1">
        <v>0.085</v>
      </c>
      <c r="F3" s="1">
        <v>3.0</v>
      </c>
    </row>
    <row r="4">
      <c r="A4" s="2" t="s">
        <v>6</v>
      </c>
      <c r="B4" s="2" t="s">
        <v>7</v>
      </c>
      <c r="C4" s="1">
        <v>0.07</v>
      </c>
      <c r="D4" s="1">
        <v>0.035</v>
      </c>
      <c r="E4" s="1">
        <v>0.267</v>
      </c>
      <c r="F4" s="1">
        <v>3.0</v>
      </c>
    </row>
    <row r="5">
      <c r="A5" s="2" t="s">
        <v>8</v>
      </c>
      <c r="B5" s="2" t="s">
        <v>9</v>
      </c>
      <c r="C5" s="1">
        <v>0.08</v>
      </c>
      <c r="D5" s="1">
        <v>0.0448</v>
      </c>
      <c r="E5" s="1">
        <v>0.3</v>
      </c>
      <c r="F5" s="1">
        <v>3.0</v>
      </c>
    </row>
    <row r="6">
      <c r="A6" s="2" t="s">
        <v>10</v>
      </c>
      <c r="B6" s="2" t="s">
        <v>11</v>
      </c>
      <c r="C6" s="1">
        <v>-0.12</v>
      </c>
      <c r="D6" s="1">
        <v>-0.4</v>
      </c>
      <c r="E6" s="1">
        <v>-0.023</v>
      </c>
      <c r="F6" s="1">
        <v>3.0</v>
      </c>
    </row>
    <row r="7">
      <c r="A7" s="2" t="s">
        <v>12</v>
      </c>
      <c r="B7" s="2" t="s">
        <v>13</v>
      </c>
      <c r="C7" s="1">
        <v>0.005</v>
      </c>
      <c r="D7" s="1">
        <v>0.005</v>
      </c>
      <c r="E7" s="1">
        <v>0.005</v>
      </c>
      <c r="F7" s="1">
        <v>1.0</v>
      </c>
    </row>
    <row r="8">
      <c r="A8" s="2" t="s">
        <v>14</v>
      </c>
      <c r="B8" s="2" t="s">
        <v>15</v>
      </c>
      <c r="C8" s="1">
        <v>0.01</v>
      </c>
      <c r="D8" s="1">
        <v>0.0</v>
      </c>
      <c r="E8" s="1">
        <v>0.032</v>
      </c>
      <c r="F8" s="1">
        <v>3.0</v>
      </c>
    </row>
    <row r="9">
      <c r="A9" s="2" t="s">
        <v>16</v>
      </c>
      <c r="B9" s="2" t="s">
        <v>17</v>
      </c>
      <c r="C9" s="1">
        <v>0.1</v>
      </c>
      <c r="D9" s="1">
        <v>0.017</v>
      </c>
      <c r="E9" s="1">
        <v>0.295</v>
      </c>
      <c r="F9" s="1">
        <v>3.0</v>
      </c>
    </row>
    <row r="10">
      <c r="A10" s="2" t="s">
        <v>18</v>
      </c>
      <c r="B10" s="2" t="s">
        <v>19</v>
      </c>
      <c r="C10" s="1">
        <v>0.0</v>
      </c>
      <c r="D10" s="1">
        <v>0.0</v>
      </c>
      <c r="E10" s="1">
        <v>0.0</v>
      </c>
      <c r="F10" s="1">
        <v>1.0</v>
      </c>
    </row>
    <row r="11">
      <c r="A11" s="2" t="s">
        <v>20</v>
      </c>
      <c r="B11" s="2" t="s">
        <v>21</v>
      </c>
      <c r="C11" s="1">
        <v>0.0</v>
      </c>
      <c r="D11" s="1">
        <v>0.0</v>
      </c>
      <c r="E11" s="1">
        <v>0.0</v>
      </c>
      <c r="F11" s="1">
        <v>1.0</v>
      </c>
    </row>
    <row r="12">
      <c r="A12" s="2" t="s">
        <v>22</v>
      </c>
      <c r="B12" s="2" t="s">
        <v>23</v>
      </c>
      <c r="C12" s="1">
        <v>0.5</v>
      </c>
      <c r="D12" s="1">
        <v>0.143</v>
      </c>
      <c r="E12" s="5" t="s">
        <v>32</v>
      </c>
      <c r="F12" s="1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3.38"/>
    <col customWidth="1" min="3" max="3" width="19.38"/>
    <col customWidth="1" min="4" max="4" width="20.0"/>
    <col customWidth="1" min="5" max="5" width="6.63"/>
    <col customWidth="1" min="6" max="6" width="19.0"/>
    <col customWidth="1" min="7" max="7" width="5.88"/>
    <col customWidth="1" min="8" max="8" width="6.88"/>
    <col customWidth="1" min="9" max="9" width="9.63"/>
    <col customWidth="1" min="10" max="10" width="6.13"/>
  </cols>
  <sheetData>
    <row r="1">
      <c r="C1" s="1" t="s">
        <v>0</v>
      </c>
      <c r="D1" s="1" t="s">
        <v>1</v>
      </c>
      <c r="E1" s="1" t="s">
        <v>33</v>
      </c>
      <c r="F1" s="1" t="s">
        <v>2</v>
      </c>
      <c r="G1" s="1" t="s">
        <v>3</v>
      </c>
    </row>
    <row r="3">
      <c r="A3" s="6" t="s">
        <v>4</v>
      </c>
      <c r="B3" s="6" t="s">
        <v>5</v>
      </c>
      <c r="C3" s="7">
        <v>0.03</v>
      </c>
      <c r="D3" s="7">
        <v>0.0083</v>
      </c>
      <c r="E3" s="8">
        <f t="shared" ref="E3:E5" si="1">AVERAGE(D3,F3)</f>
        <v>0.02265</v>
      </c>
      <c r="F3" s="7">
        <v>0.037</v>
      </c>
      <c r="G3" s="7">
        <v>3.0</v>
      </c>
      <c r="H3" s="7" t="s">
        <v>34</v>
      </c>
      <c r="I3" s="8"/>
      <c r="J3" s="8"/>
      <c r="K3" s="8"/>
      <c r="L3" s="8"/>
      <c r="M3" s="8"/>
      <c r="N3" s="8"/>
      <c r="O3" s="8"/>
    </row>
    <row r="4">
      <c r="A4" s="2" t="s">
        <v>6</v>
      </c>
      <c r="B4" s="2" t="s">
        <v>7</v>
      </c>
      <c r="C4" s="1">
        <v>0.07</v>
      </c>
      <c r="D4" s="1">
        <v>0.045</v>
      </c>
      <c r="E4" s="4">
        <f t="shared" si="1"/>
        <v>0.1425</v>
      </c>
      <c r="F4" s="1">
        <v>0.24</v>
      </c>
      <c r="G4" s="1">
        <v>3.0</v>
      </c>
      <c r="H4" s="1" t="s">
        <v>35</v>
      </c>
    </row>
    <row r="5">
      <c r="A5" s="6" t="s">
        <v>8</v>
      </c>
      <c r="B5" s="6" t="s">
        <v>9</v>
      </c>
      <c r="C5" s="7">
        <v>0.08</v>
      </c>
      <c r="D5" s="7">
        <v>0.075</v>
      </c>
      <c r="E5" s="8">
        <f t="shared" si="1"/>
        <v>0.1425</v>
      </c>
      <c r="F5" s="7">
        <v>0.21</v>
      </c>
      <c r="G5" s="7">
        <v>3.0</v>
      </c>
      <c r="H5" s="7" t="s">
        <v>36</v>
      </c>
      <c r="I5" s="8"/>
      <c r="J5" s="8"/>
      <c r="K5" s="8"/>
      <c r="L5" s="8"/>
      <c r="M5" s="8"/>
      <c r="N5" s="8"/>
      <c r="O5" s="8"/>
    </row>
    <row r="6">
      <c r="A6" s="2" t="s">
        <v>10</v>
      </c>
      <c r="B6" s="2" t="s">
        <v>11</v>
      </c>
      <c r="C6" s="1">
        <v>-0.12</v>
      </c>
      <c r="D6" s="1">
        <v>-0.138</v>
      </c>
      <c r="E6" s="1">
        <v>1.0</v>
      </c>
      <c r="F6" s="1">
        <v>-0.038</v>
      </c>
      <c r="G6" s="1">
        <v>3.0</v>
      </c>
      <c r="H6" s="1" t="s">
        <v>37</v>
      </c>
    </row>
    <row r="7">
      <c r="A7" s="6" t="s">
        <v>12</v>
      </c>
      <c r="B7" s="6" t="s">
        <v>13</v>
      </c>
      <c r="C7" s="7">
        <v>0.005</v>
      </c>
      <c r="D7" s="7">
        <v>0.005</v>
      </c>
      <c r="E7" s="8">
        <f t="shared" ref="E7:E12" si="2">AVERAGE(D7,F7)</f>
        <v>0.005</v>
      </c>
      <c r="F7" s="7">
        <v>0.005</v>
      </c>
      <c r="G7" s="7">
        <v>1.0</v>
      </c>
      <c r="H7" s="8"/>
      <c r="I7" s="8"/>
      <c r="J7" s="8"/>
      <c r="K7" s="8"/>
      <c r="L7" s="8"/>
      <c r="M7" s="8"/>
      <c r="N7" s="8"/>
      <c r="O7" s="8"/>
    </row>
    <row r="8">
      <c r="A8" s="2" t="s">
        <v>14</v>
      </c>
      <c r="B8" s="2" t="s">
        <v>15</v>
      </c>
      <c r="C8" s="1">
        <v>0.01</v>
      </c>
      <c r="D8" s="1">
        <v>0.0</v>
      </c>
      <c r="E8" s="4">
        <f t="shared" si="2"/>
        <v>0.0065</v>
      </c>
      <c r="F8" s="1">
        <v>0.013</v>
      </c>
      <c r="G8" s="1">
        <v>3.0</v>
      </c>
      <c r="H8" s="1" t="s">
        <v>38</v>
      </c>
    </row>
    <row r="9">
      <c r="A9" s="6" t="s">
        <v>16</v>
      </c>
      <c r="B9" s="6" t="s">
        <v>17</v>
      </c>
      <c r="C9" s="7">
        <v>0.1</v>
      </c>
      <c r="D9" s="7">
        <v>0.0227</v>
      </c>
      <c r="E9" s="8">
        <f t="shared" si="2"/>
        <v>0.07135</v>
      </c>
      <c r="F9" s="7">
        <v>0.12</v>
      </c>
      <c r="G9" s="7">
        <v>3.0</v>
      </c>
      <c r="H9" s="7" t="s">
        <v>39</v>
      </c>
      <c r="I9" s="8"/>
      <c r="J9" s="8"/>
      <c r="K9" s="8"/>
      <c r="L9" s="8"/>
      <c r="M9" s="8"/>
      <c r="N9" s="8"/>
      <c r="O9" s="8"/>
    </row>
    <row r="10">
      <c r="A10" s="2" t="s">
        <v>18</v>
      </c>
      <c r="B10" s="2" t="s">
        <v>19</v>
      </c>
      <c r="C10" s="1">
        <v>0.0</v>
      </c>
      <c r="D10" s="1">
        <v>0.0</v>
      </c>
      <c r="E10" s="4">
        <f t="shared" si="2"/>
        <v>0</v>
      </c>
      <c r="F10" s="1">
        <v>0.0</v>
      </c>
      <c r="G10" s="1">
        <v>1.0</v>
      </c>
    </row>
    <row r="11">
      <c r="A11" s="6" t="s">
        <v>20</v>
      </c>
      <c r="B11" s="6" t="s">
        <v>21</v>
      </c>
      <c r="C11" s="7">
        <v>0.0</v>
      </c>
      <c r="D11" s="7">
        <v>0.0</v>
      </c>
      <c r="E11" s="8">
        <f t="shared" si="2"/>
        <v>0</v>
      </c>
      <c r="F11" s="7">
        <v>0.0</v>
      </c>
      <c r="G11" s="7">
        <v>1.0</v>
      </c>
      <c r="H11" s="8"/>
      <c r="I11" s="8"/>
      <c r="J11" s="8"/>
      <c r="K11" s="8"/>
      <c r="L11" s="8"/>
      <c r="M11" s="8"/>
      <c r="N11" s="8"/>
      <c r="O11" s="8"/>
    </row>
    <row r="12">
      <c r="A12" s="2" t="s">
        <v>22</v>
      </c>
      <c r="B12" s="2" t="s">
        <v>23</v>
      </c>
      <c r="C12" s="1">
        <v>0.5</v>
      </c>
      <c r="D12" s="1">
        <v>0.5</v>
      </c>
      <c r="E12" s="4">
        <f t="shared" si="2"/>
        <v>1.75</v>
      </c>
      <c r="F12" s="1">
        <v>3.0</v>
      </c>
      <c r="G12" s="1">
        <v>3.0</v>
      </c>
      <c r="H12" s="1" t="s">
        <v>40</v>
      </c>
    </row>
    <row r="13">
      <c r="B13" s="1" t="s">
        <v>41</v>
      </c>
      <c r="D13" s="1" t="s">
        <v>41</v>
      </c>
    </row>
    <row r="14">
      <c r="A14" s="9" t="s">
        <v>42</v>
      </c>
      <c r="B14" s="1" t="s">
        <v>43</v>
      </c>
      <c r="C14" s="9" t="s">
        <v>44</v>
      </c>
    </row>
    <row r="15">
      <c r="A15" s="9" t="s">
        <v>45</v>
      </c>
      <c r="B15" s="1" t="s">
        <v>43</v>
      </c>
      <c r="C15" s="9" t="s">
        <v>46</v>
      </c>
    </row>
    <row r="16">
      <c r="A16" s="9" t="s">
        <v>47</v>
      </c>
      <c r="B16" s="1" t="s">
        <v>43</v>
      </c>
      <c r="C16" s="9" t="s">
        <v>48</v>
      </c>
    </row>
    <row r="17">
      <c r="A17" s="9" t="s">
        <v>49</v>
      </c>
      <c r="B17" s="1" t="s">
        <v>43</v>
      </c>
      <c r="C17" s="9" t="s">
        <v>50</v>
      </c>
    </row>
    <row r="18">
      <c r="A18" s="9" t="s">
        <v>51</v>
      </c>
      <c r="B18" s="1" t="s">
        <v>43</v>
      </c>
      <c r="C18" s="9" t="s">
        <v>52</v>
      </c>
    </row>
    <row r="19">
      <c r="A19" s="9" t="s">
        <v>53</v>
      </c>
      <c r="B19" s="1" t="s">
        <v>43</v>
      </c>
      <c r="C19" s="9" t="s">
        <v>54</v>
      </c>
    </row>
    <row r="20">
      <c r="A20" s="9" t="s">
        <v>55</v>
      </c>
      <c r="B20" s="1" t="s">
        <v>43</v>
      </c>
      <c r="C20" s="9" t="s">
        <v>56</v>
      </c>
      <c r="E20" s="1" t="s">
        <v>57</v>
      </c>
      <c r="F20" s="1" t="s">
        <v>58</v>
      </c>
      <c r="G20" s="1" t="s">
        <v>0</v>
      </c>
      <c r="H20" s="1" t="s">
        <v>1</v>
      </c>
      <c r="I20" s="1" t="s">
        <v>33</v>
      </c>
      <c r="J20" s="1" t="s">
        <v>2</v>
      </c>
      <c r="K20" s="1" t="s">
        <v>3</v>
      </c>
    </row>
    <row r="21">
      <c r="A21" s="9" t="s">
        <v>59</v>
      </c>
      <c r="B21" s="1" t="s">
        <v>43</v>
      </c>
      <c r="C21" s="9" t="s">
        <v>60</v>
      </c>
      <c r="E21" s="2" t="s">
        <v>4</v>
      </c>
      <c r="F21" s="2" t="s">
        <v>5</v>
      </c>
      <c r="G21" s="1">
        <v>0.03</v>
      </c>
      <c r="H21" s="1">
        <v>0.0083</v>
      </c>
      <c r="I21" s="4">
        <f t="shared" ref="I21:I27" si="3">AVERAGE(H21,J21)</f>
        <v>0.02265</v>
      </c>
      <c r="J21" s="1">
        <v>0.037</v>
      </c>
      <c r="K21" s="1">
        <v>3.0</v>
      </c>
    </row>
    <row r="22">
      <c r="A22" s="9" t="s">
        <v>61</v>
      </c>
      <c r="B22" s="1" t="s">
        <v>43</v>
      </c>
      <c r="C22" s="9" t="s">
        <v>62</v>
      </c>
      <c r="E22" s="2" t="s">
        <v>6</v>
      </c>
      <c r="F22" s="2" t="s">
        <v>7</v>
      </c>
      <c r="G22" s="1">
        <v>0.07</v>
      </c>
      <c r="H22" s="1">
        <v>0.045</v>
      </c>
      <c r="I22" s="4">
        <f t="shared" si="3"/>
        <v>0.1425</v>
      </c>
      <c r="J22" s="1">
        <v>0.24</v>
      </c>
      <c r="K22" s="1">
        <v>3.0</v>
      </c>
    </row>
    <row r="23">
      <c r="A23" s="9" t="s">
        <v>63</v>
      </c>
      <c r="B23" s="1" t="s">
        <v>43</v>
      </c>
      <c r="C23" s="9" t="s">
        <v>64</v>
      </c>
      <c r="E23" s="2" t="s">
        <v>8</v>
      </c>
      <c r="F23" s="2" t="s">
        <v>9</v>
      </c>
      <c r="G23" s="1">
        <v>0.08</v>
      </c>
      <c r="H23" s="1">
        <v>0.075</v>
      </c>
      <c r="I23" s="4">
        <f t="shared" si="3"/>
        <v>0.1425</v>
      </c>
      <c r="J23" s="1">
        <v>0.21</v>
      </c>
      <c r="K23" s="1">
        <v>3.0</v>
      </c>
    </row>
    <row r="24">
      <c r="A24" s="9" t="s">
        <v>65</v>
      </c>
      <c r="B24" s="1" t="s">
        <v>43</v>
      </c>
      <c r="C24" s="9" t="s">
        <v>66</v>
      </c>
      <c r="E24" s="2" t="s">
        <v>10</v>
      </c>
      <c r="F24" s="2" t="s">
        <v>11</v>
      </c>
      <c r="G24" s="1">
        <v>-0.12</v>
      </c>
      <c r="H24" s="1">
        <v>-0.138</v>
      </c>
      <c r="I24" s="4">
        <f t="shared" si="3"/>
        <v>-0.088</v>
      </c>
      <c r="J24" s="1">
        <v>-0.038</v>
      </c>
      <c r="K24" s="1">
        <v>3.0</v>
      </c>
    </row>
    <row r="25">
      <c r="A25" s="9" t="s">
        <v>67</v>
      </c>
      <c r="B25" s="1" t="s">
        <v>43</v>
      </c>
      <c r="C25" s="9" t="s">
        <v>68</v>
      </c>
      <c r="E25" s="2" t="s">
        <v>14</v>
      </c>
      <c r="F25" s="2" t="s">
        <v>15</v>
      </c>
      <c r="G25" s="1">
        <v>0.01</v>
      </c>
      <c r="H25" s="1">
        <v>0.0</v>
      </c>
      <c r="I25" s="4">
        <f t="shared" si="3"/>
        <v>0.0065</v>
      </c>
      <c r="J25" s="1">
        <v>0.013</v>
      </c>
      <c r="K25" s="1">
        <v>3.0</v>
      </c>
    </row>
    <row r="26">
      <c r="A26" s="9" t="s">
        <v>69</v>
      </c>
      <c r="B26" s="1" t="s">
        <v>43</v>
      </c>
      <c r="C26" s="9" t="s">
        <v>70</v>
      </c>
      <c r="E26" s="2" t="s">
        <v>16</v>
      </c>
      <c r="F26" s="2" t="s">
        <v>17</v>
      </c>
      <c r="G26" s="1">
        <v>0.1</v>
      </c>
      <c r="H26" s="1">
        <v>0.0227</v>
      </c>
      <c r="I26" s="4">
        <f t="shared" si="3"/>
        <v>0.07135</v>
      </c>
      <c r="J26" s="1">
        <v>0.12</v>
      </c>
      <c r="K26" s="1">
        <v>3.0</v>
      </c>
    </row>
    <row r="27">
      <c r="A27" s="9" t="s">
        <v>71</v>
      </c>
      <c r="B27" s="1" t="s">
        <v>43</v>
      </c>
      <c r="C27" s="9" t="s">
        <v>72</v>
      </c>
      <c r="E27" s="2" t="s">
        <v>22</v>
      </c>
      <c r="F27" s="2" t="s">
        <v>23</v>
      </c>
      <c r="G27" s="1">
        <v>0.5</v>
      </c>
      <c r="H27" s="1">
        <v>0.5</v>
      </c>
      <c r="I27" s="4">
        <f t="shared" si="3"/>
        <v>1.75</v>
      </c>
      <c r="J27" s="1">
        <v>3.0</v>
      </c>
      <c r="K27" s="1">
        <v>3.0</v>
      </c>
    </row>
    <row r="28">
      <c r="A28" s="9" t="s">
        <v>73</v>
      </c>
      <c r="B28" s="1" t="s">
        <v>43</v>
      </c>
      <c r="C28" s="9" t="s">
        <v>74</v>
      </c>
      <c r="E28" s="2"/>
      <c r="F28" s="2"/>
    </row>
    <row r="29">
      <c r="A29" s="9" t="s">
        <v>75</v>
      </c>
      <c r="B29" s="1" t="s">
        <v>43</v>
      </c>
      <c r="C29" s="9" t="s">
        <v>76</v>
      </c>
      <c r="E29" s="6"/>
      <c r="F29" s="6"/>
      <c r="G29" s="7"/>
      <c r="H29" s="7"/>
      <c r="I29" s="8"/>
      <c r="J29" s="7"/>
      <c r="K29" s="7"/>
    </row>
    <row r="30">
      <c r="A30" s="9" t="s">
        <v>77</v>
      </c>
      <c r="B30" s="1" t="s">
        <v>43</v>
      </c>
      <c r="C30" s="9" t="s">
        <v>78</v>
      </c>
    </row>
    <row r="31">
      <c r="C31" s="9" t="s">
        <v>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80</v>
      </c>
    </row>
    <row r="3">
      <c r="A3" s="1" t="s">
        <v>81</v>
      </c>
      <c r="B3" s="1" t="s">
        <v>82</v>
      </c>
      <c r="C3" s="1" t="s">
        <v>83</v>
      </c>
      <c r="D3" s="1" t="s">
        <v>84</v>
      </c>
    </row>
    <row r="4">
      <c r="A4" s="1" t="s">
        <v>4</v>
      </c>
      <c r="B4" s="10"/>
      <c r="C4" s="11"/>
    </row>
    <row r="5">
      <c r="A5" s="1" t="s">
        <v>6</v>
      </c>
    </row>
    <row r="6">
      <c r="A6" s="1" t="s">
        <v>84</v>
      </c>
    </row>
  </sheetData>
  <drawing r:id="rId1"/>
</worksheet>
</file>