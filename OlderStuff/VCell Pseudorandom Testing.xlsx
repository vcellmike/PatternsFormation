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eneralized_Params" sheetId="2" r:id="rId5"/>
    <sheet state="visible" name="Copy of Generalized_Params_8-15" sheetId="3" r:id="rId6"/>
    <sheet state="visible" name="Wide_Range_9-21" sheetId="4" r:id="rId7"/>
  </sheets>
  <definedNames/>
  <calcPr/>
</workbook>
</file>

<file path=xl/sharedStrings.xml><?xml version="1.0" encoding="utf-8"?>
<sst xmlns="http://schemas.openxmlformats.org/spreadsheetml/2006/main" count="112" uniqueCount="32">
  <si>
    <t>T</t>
  </si>
  <si>
    <t>Val</t>
  </si>
  <si>
    <t>percentile</t>
  </si>
  <si>
    <t>Frequency</t>
  </si>
  <si>
    <t>WT</t>
  </si>
  <si>
    <t>Min_Val</t>
  </si>
  <si>
    <t>Max_Val</t>
  </si>
  <si>
    <t>Mid</t>
  </si>
  <si>
    <t>max-min/2</t>
  </si>
  <si>
    <t>max+min/2</t>
  </si>
  <si>
    <t>k1</t>
  </si>
  <si>
    <t>k2</t>
  </si>
  <si>
    <t>Ua</t>
  </si>
  <si>
    <t>Ui</t>
  </si>
  <si>
    <t>Ga</t>
  </si>
  <si>
    <t>Gi</t>
  </si>
  <si>
    <t>Da</t>
  </si>
  <si>
    <t>Di</t>
  </si>
  <si>
    <t>Ba</t>
  </si>
  <si>
    <t>Used for creating new numbers</t>
  </si>
  <si>
    <t>Min</t>
  </si>
  <si>
    <t>Middle</t>
  </si>
  <si>
    <t>Max</t>
  </si>
  <si>
    <t>wt - min</t>
  </si>
  <si>
    <t>max-wt</t>
  </si>
  <si>
    <t>degradation rate for A</t>
  </si>
  <si>
    <t>degradation rate for I</t>
  </si>
  <si>
    <t>self-activation of A by A</t>
  </si>
  <si>
    <t>Activation of I by A</t>
  </si>
  <si>
    <t>Diffusion rate of A</t>
  </si>
  <si>
    <t>diffusion rate of I</t>
  </si>
  <si>
    <t>Inhibition of A by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</si>
</sst>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0" fontId="1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6" fontId="1" numFmtId="0" xfId="0" applyAlignment="1" applyFill="1" applyFont="1">
      <alignment horizontal="right"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right" readingOrder="0"/>
    </xf>
    <xf borderId="0" fillId="8" fontId="1" numFmtId="0" xfId="0" applyAlignment="1" applyFill="1" applyFont="1">
      <alignment horizontal="right" readingOrder="0"/>
    </xf>
    <xf borderId="0" fillId="9" fontId="1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10" fontId="3" numFmtId="0" xfId="0" applyAlignment="1" applyFill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horizontal="right" readingOrder="0" vertical="bottom"/>
    </xf>
    <xf borderId="0" fillId="10" fontId="3" numFmtId="0" xfId="0" applyAlignment="1" applyFont="1">
      <alignment horizontal="right" readingOrder="0" vertical="bottom"/>
    </xf>
    <xf borderId="0" fillId="11" fontId="4" numFmtId="0" xfId="0" applyAlignment="1" applyFill="1" applyFon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10" fontId="5" numFmtId="0" xfId="0" applyAlignment="1" applyFont="1">
      <alignment vertical="bottom"/>
    </xf>
    <xf borderId="0" fillId="12" fontId="5" numFmtId="0" xfId="0" applyAlignment="1" applyFill="1" applyFont="1">
      <alignment vertical="bottom"/>
    </xf>
    <xf borderId="0" fillId="1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percentile For Ua between values 1-2, for 100 Values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Sheet1!$H$3:$H$12</c:f>
            </c:strRef>
          </c:cat>
          <c:val>
            <c:numRef>
              <c:f>Sheet1!$J$3:$J$12</c:f>
              <c:numCache/>
            </c:numRef>
          </c:val>
        </c:ser>
        <c:axId val="123909994"/>
        <c:axId val="422793236"/>
      </c:barChart>
      <c:catAx>
        <c:axId val="123909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793236"/>
      </c:catAx>
      <c:valAx>
        <c:axId val="422793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09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13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</row>
    <row r="2">
      <c r="A2" s="1"/>
      <c r="B2" s="3">
        <v>0.61</v>
      </c>
      <c r="C2" s="3">
        <v>0.008391</v>
      </c>
      <c r="D2" s="1"/>
      <c r="E2" s="1"/>
      <c r="F2" s="1"/>
      <c r="G2" s="1"/>
      <c r="H2" s="2" t="s">
        <v>2</v>
      </c>
      <c r="I2" s="1"/>
      <c r="J2" s="2" t="s">
        <v>3</v>
      </c>
      <c r="K2" s="1"/>
    </row>
    <row r="3">
      <c r="A3" s="1"/>
      <c r="B3" s="3">
        <v>0.2</v>
      </c>
      <c r="C3" s="3">
        <v>0.008489</v>
      </c>
      <c r="D3" s="1"/>
      <c r="E3" s="1"/>
      <c r="F3" s="1"/>
      <c r="G3" s="1"/>
      <c r="H3" s="4">
        <v>10.0</v>
      </c>
      <c r="I3" s="4">
        <v>0.01117</v>
      </c>
      <c r="J3" s="4">
        <v>7.0</v>
      </c>
      <c r="K3" s="1"/>
    </row>
    <row r="4">
      <c r="A4" s="1"/>
      <c r="B4" s="3">
        <v>0.68</v>
      </c>
      <c r="C4" s="3">
        <v>0.009934</v>
      </c>
      <c r="D4" s="1"/>
      <c r="E4" s="1"/>
      <c r="F4" s="1"/>
      <c r="G4" s="1"/>
      <c r="H4" s="4">
        <v>20.0</v>
      </c>
      <c r="I4" s="4">
        <v>0.01404</v>
      </c>
      <c r="J4" s="4">
        <v>11.0</v>
      </c>
      <c r="K4" s="1"/>
    </row>
    <row r="5">
      <c r="A5" s="1"/>
      <c r="B5" s="3">
        <v>0.69</v>
      </c>
      <c r="C5" s="3">
        <v>0.010333</v>
      </c>
      <c r="D5" s="1"/>
      <c r="E5" s="1"/>
      <c r="F5" s="1"/>
      <c r="G5" s="1"/>
      <c r="H5" s="4">
        <v>30.0</v>
      </c>
      <c r="I5" s="4">
        <v>0.01691</v>
      </c>
      <c r="J5" s="4">
        <v>10.0</v>
      </c>
      <c r="K5" s="1"/>
    </row>
    <row r="6">
      <c r="A6" s="1"/>
      <c r="B6" s="3">
        <v>0.28</v>
      </c>
      <c r="C6" s="3">
        <v>0.010522</v>
      </c>
      <c r="D6" s="1"/>
      <c r="E6" s="1"/>
      <c r="F6" s="1"/>
      <c r="G6" s="1"/>
      <c r="H6" s="4">
        <v>40.0</v>
      </c>
      <c r="I6" s="4">
        <v>0.01978</v>
      </c>
      <c r="J6" s="4">
        <v>12.0</v>
      </c>
      <c r="K6" s="1"/>
    </row>
    <row r="7">
      <c r="A7" s="1"/>
      <c r="B7" s="3">
        <v>0.27</v>
      </c>
      <c r="C7" s="3">
        <v>0.010705</v>
      </c>
      <c r="D7" s="1"/>
      <c r="E7" s="1"/>
      <c r="F7" s="1"/>
      <c r="G7" s="1"/>
      <c r="H7" s="4">
        <v>50.0</v>
      </c>
      <c r="I7" s="4">
        <v>0.02265</v>
      </c>
      <c r="J7" s="4">
        <v>9.0</v>
      </c>
      <c r="K7" s="1"/>
    </row>
    <row r="8">
      <c r="A8" s="1"/>
      <c r="B8" s="3">
        <v>0.22</v>
      </c>
      <c r="C8" s="3">
        <v>0.011121</v>
      </c>
      <c r="D8" s="1"/>
      <c r="E8" s="1"/>
      <c r="F8" s="1"/>
      <c r="G8" s="1"/>
      <c r="H8" s="4">
        <v>60.0</v>
      </c>
      <c r="I8" s="4">
        <v>0.02552</v>
      </c>
      <c r="J8" s="4">
        <v>14.0</v>
      </c>
      <c r="K8" s="1"/>
    </row>
    <row r="9">
      <c r="A9" s="1"/>
      <c r="B9" s="5">
        <v>0.12</v>
      </c>
      <c r="C9" s="5">
        <v>0.011352</v>
      </c>
      <c r="D9" s="1"/>
      <c r="E9" s="1"/>
      <c r="F9" s="1"/>
      <c r="G9" s="1"/>
      <c r="H9" s="4">
        <v>70.0</v>
      </c>
      <c r="I9" s="4">
        <v>0.02839</v>
      </c>
      <c r="J9" s="4">
        <v>14.0</v>
      </c>
      <c r="K9" s="1"/>
    </row>
    <row r="10">
      <c r="A10" s="1"/>
      <c r="B10" s="5">
        <v>0.71</v>
      </c>
      <c r="C10" s="5">
        <v>0.011578</v>
      </c>
      <c r="D10" s="1"/>
      <c r="E10" s="1"/>
      <c r="F10" s="1"/>
      <c r="G10" s="1"/>
      <c r="H10" s="4">
        <v>80.0</v>
      </c>
      <c r="I10" s="4">
        <v>0.03126</v>
      </c>
      <c r="J10" s="4">
        <v>7.0</v>
      </c>
      <c r="K10" s="1"/>
    </row>
    <row r="11">
      <c r="A11" s="1"/>
      <c r="B11" s="5">
        <v>0.53</v>
      </c>
      <c r="C11" s="5">
        <v>0.011579</v>
      </c>
      <c r="D11" s="1"/>
      <c r="E11" s="1"/>
      <c r="F11" s="1"/>
      <c r="G11" s="1"/>
      <c r="H11" s="4">
        <v>90.0</v>
      </c>
      <c r="I11" s="4">
        <v>0.03413</v>
      </c>
      <c r="J11" s="4">
        <v>8.0</v>
      </c>
      <c r="K11" s="1"/>
    </row>
    <row r="12">
      <c r="A12" s="1"/>
      <c r="B12" s="5">
        <v>1.0</v>
      </c>
      <c r="C12" s="5">
        <v>0.011702</v>
      </c>
      <c r="D12" s="1"/>
      <c r="E12" s="1"/>
      <c r="F12" s="1"/>
      <c r="G12" s="1"/>
      <c r="H12" s="4">
        <v>100.0</v>
      </c>
      <c r="I12" s="4">
        <v>0.037</v>
      </c>
      <c r="J12" s="4">
        <v>9.0</v>
      </c>
      <c r="K12" s="1"/>
    </row>
    <row r="13">
      <c r="A13" s="1"/>
      <c r="B13" s="5">
        <v>0.3</v>
      </c>
      <c r="C13" s="5">
        <v>0.011812</v>
      </c>
      <c r="D13" s="1"/>
      <c r="E13" s="1"/>
      <c r="F13" s="1"/>
      <c r="G13" s="1"/>
      <c r="H13" s="1"/>
      <c r="I13" s="1"/>
      <c r="J13" s="1"/>
      <c r="K13" s="1"/>
    </row>
    <row r="14">
      <c r="A14" s="1"/>
      <c r="B14" s="5">
        <v>0.94</v>
      </c>
      <c r="C14" s="5">
        <v>0.011812</v>
      </c>
      <c r="D14" s="1"/>
      <c r="E14" s="1"/>
      <c r="F14" s="1"/>
      <c r="G14" s="1"/>
      <c r="H14" s="1"/>
      <c r="I14" s="1"/>
      <c r="J14" s="1"/>
      <c r="K14" s="1"/>
    </row>
    <row r="15">
      <c r="A15" s="1"/>
      <c r="B15" s="5">
        <v>0.63</v>
      </c>
      <c r="C15" s="5">
        <v>0.01209</v>
      </c>
      <c r="D15" s="1"/>
      <c r="E15" s="1"/>
      <c r="F15" s="1"/>
      <c r="G15" s="1"/>
      <c r="H15" s="1"/>
      <c r="I15" s="1"/>
      <c r="J15" s="1"/>
      <c r="K15" s="1"/>
    </row>
    <row r="16">
      <c r="A16" s="1"/>
      <c r="B16" s="5">
        <v>0.59</v>
      </c>
      <c r="C16" s="5">
        <v>0.012746</v>
      </c>
      <c r="D16" s="1"/>
      <c r="E16" s="1"/>
      <c r="F16" s="1"/>
      <c r="G16" s="1"/>
      <c r="H16" s="1"/>
      <c r="I16" s="1"/>
      <c r="J16" s="1"/>
      <c r="K16" s="1"/>
    </row>
    <row r="17">
      <c r="A17" s="1"/>
      <c r="B17" s="5">
        <v>0.51</v>
      </c>
      <c r="C17" s="5">
        <v>0.01308</v>
      </c>
      <c r="D17" s="1"/>
      <c r="E17" s="1"/>
      <c r="F17" s="1"/>
      <c r="G17" s="1"/>
      <c r="H17" s="1"/>
      <c r="I17" s="1"/>
      <c r="J17" s="1"/>
      <c r="K17" s="1"/>
    </row>
    <row r="18">
      <c r="A18" s="1"/>
      <c r="B18" s="5">
        <v>0.92</v>
      </c>
      <c r="C18" s="5">
        <v>0.013353</v>
      </c>
      <c r="D18" s="1"/>
      <c r="E18" s="1"/>
      <c r="F18" s="1"/>
      <c r="G18" s="1"/>
      <c r="H18" s="1"/>
      <c r="I18" s="1"/>
      <c r="J18" s="1"/>
      <c r="K18" s="1"/>
    </row>
    <row r="19">
      <c r="A19" s="1"/>
      <c r="B19" s="5">
        <v>0.18</v>
      </c>
      <c r="C19" s="5">
        <v>0.013904</v>
      </c>
      <c r="D19" s="1"/>
      <c r="E19" s="1"/>
      <c r="F19" s="1"/>
      <c r="G19" s="1"/>
      <c r="H19" s="1"/>
      <c r="I19" s="1"/>
      <c r="J19" s="1"/>
      <c r="K19" s="1"/>
    </row>
    <row r="20">
      <c r="A20" s="1"/>
      <c r="B20" s="6">
        <v>0.31</v>
      </c>
      <c r="C20" s="6">
        <v>0.014492</v>
      </c>
      <c r="D20" s="1"/>
      <c r="E20" s="1"/>
      <c r="F20" s="1"/>
      <c r="G20" s="1"/>
      <c r="H20" s="1"/>
      <c r="I20" s="1"/>
      <c r="J20" s="1"/>
      <c r="K20" s="1"/>
    </row>
    <row r="21">
      <c r="A21" s="1"/>
      <c r="B21" s="6">
        <v>0.75</v>
      </c>
      <c r="C21" s="6">
        <v>0.014803</v>
      </c>
      <c r="D21" s="1"/>
      <c r="E21" s="1"/>
      <c r="F21" s="1"/>
      <c r="G21" s="1"/>
      <c r="H21" s="1"/>
      <c r="I21" s="1"/>
      <c r="J21" s="1"/>
      <c r="K21" s="1"/>
    </row>
    <row r="22">
      <c r="A22" s="1"/>
      <c r="B22" s="6">
        <v>0.34</v>
      </c>
      <c r="C22" s="6">
        <v>0.015221</v>
      </c>
      <c r="D22" s="1"/>
      <c r="E22" s="1"/>
      <c r="F22" s="1"/>
      <c r="G22" s="1"/>
      <c r="H22" s="1"/>
      <c r="I22" s="1"/>
      <c r="J22" s="1"/>
      <c r="K22" s="1"/>
    </row>
    <row r="23">
      <c r="A23" s="1"/>
      <c r="B23" s="6">
        <v>0.91</v>
      </c>
      <c r="C23" s="6">
        <v>0.015281</v>
      </c>
      <c r="D23" s="1"/>
      <c r="E23" s="1"/>
      <c r="F23" s="1"/>
      <c r="G23" s="1"/>
      <c r="H23" s="1"/>
      <c r="I23" s="1"/>
      <c r="J23" s="1"/>
      <c r="K23" s="1"/>
    </row>
    <row r="24">
      <c r="A24" s="1"/>
      <c r="B24" s="6">
        <v>0.72</v>
      </c>
      <c r="C24" s="6">
        <v>0.015792</v>
      </c>
      <c r="D24" s="1"/>
      <c r="E24" s="1"/>
      <c r="F24" s="1"/>
      <c r="G24" s="1"/>
      <c r="H24" s="1"/>
      <c r="I24" s="1"/>
      <c r="J24" s="1"/>
      <c r="K24" s="1"/>
    </row>
    <row r="25">
      <c r="A25" s="1"/>
      <c r="B25" s="6">
        <v>0.15</v>
      </c>
      <c r="C25" s="6">
        <v>0.015854</v>
      </c>
      <c r="D25" s="1"/>
      <c r="E25" s="1"/>
      <c r="F25" s="1"/>
      <c r="G25" s="1"/>
      <c r="H25" s="1"/>
      <c r="I25" s="1"/>
      <c r="J25" s="1"/>
      <c r="K25" s="1"/>
    </row>
    <row r="26">
      <c r="A26" s="1"/>
      <c r="B26" s="6">
        <v>0.06</v>
      </c>
      <c r="C26" s="6">
        <v>0.01638</v>
      </c>
      <c r="D26" s="1"/>
      <c r="E26" s="1"/>
      <c r="F26" s="1"/>
      <c r="G26" s="1"/>
      <c r="H26" s="1"/>
      <c r="I26" s="1"/>
      <c r="J26" s="1"/>
      <c r="K26" s="1"/>
    </row>
    <row r="27">
      <c r="A27" s="1"/>
      <c r="B27" s="6">
        <v>0.5</v>
      </c>
      <c r="C27" s="6">
        <v>0.016631</v>
      </c>
      <c r="D27" s="1"/>
      <c r="E27" s="1"/>
      <c r="F27" s="1"/>
      <c r="G27" s="1"/>
      <c r="H27" s="1"/>
      <c r="I27" s="1"/>
      <c r="J27" s="1"/>
      <c r="K27" s="1"/>
    </row>
    <row r="28">
      <c r="A28" s="1"/>
      <c r="B28" s="6">
        <v>0.77</v>
      </c>
      <c r="C28" s="6">
        <v>0.016709</v>
      </c>
      <c r="D28" s="1"/>
      <c r="E28" s="1"/>
      <c r="F28" s="1"/>
      <c r="G28" s="1"/>
      <c r="H28" s="1"/>
      <c r="I28" s="1"/>
      <c r="J28" s="1"/>
      <c r="K28" s="1"/>
    </row>
    <row r="29">
      <c r="A29" s="1"/>
      <c r="B29" s="6">
        <v>0.47</v>
      </c>
      <c r="C29" s="6">
        <v>0.016709</v>
      </c>
      <c r="D29" s="1"/>
      <c r="E29" s="1"/>
      <c r="F29" s="1"/>
      <c r="G29" s="1"/>
      <c r="H29" s="1"/>
      <c r="I29" s="1"/>
      <c r="J29" s="1"/>
      <c r="K29" s="1"/>
    </row>
    <row r="30">
      <c r="A30" s="1"/>
      <c r="B30" s="7">
        <v>0.36</v>
      </c>
      <c r="C30" s="7">
        <v>0.017041</v>
      </c>
      <c r="D30" s="1"/>
      <c r="E30" s="1"/>
      <c r="F30" s="1"/>
      <c r="G30" s="1"/>
      <c r="H30" s="1"/>
      <c r="I30" s="1"/>
      <c r="J30" s="1"/>
      <c r="K30" s="1"/>
    </row>
    <row r="31">
      <c r="A31" s="1"/>
      <c r="B31" s="7">
        <v>0.88</v>
      </c>
      <c r="C31" s="7">
        <v>0.017041</v>
      </c>
      <c r="D31" s="1"/>
      <c r="E31" s="1"/>
      <c r="F31" s="1"/>
      <c r="G31" s="1"/>
      <c r="H31" s="1"/>
      <c r="I31" s="1"/>
      <c r="J31" s="1"/>
      <c r="K31" s="1"/>
    </row>
    <row r="32">
      <c r="A32" s="1"/>
      <c r="B32" s="7">
        <v>0.56</v>
      </c>
      <c r="C32" s="7">
        <v>0.017236</v>
      </c>
      <c r="D32" s="1"/>
      <c r="E32" s="1"/>
      <c r="F32" s="1"/>
      <c r="G32" s="1"/>
      <c r="H32" s="1"/>
      <c r="I32" s="1"/>
      <c r="J32" s="1"/>
      <c r="K32" s="1"/>
    </row>
    <row r="33">
      <c r="A33" s="1"/>
      <c r="B33" s="7">
        <v>0.09</v>
      </c>
      <c r="C33" s="7">
        <v>0.018051</v>
      </c>
      <c r="D33" s="1"/>
      <c r="E33" s="1"/>
      <c r="F33" s="1"/>
      <c r="G33" s="1"/>
      <c r="H33" s="1"/>
      <c r="I33" s="1"/>
      <c r="J33" s="1"/>
      <c r="K33" s="1"/>
    </row>
    <row r="34">
      <c r="A34" s="1"/>
      <c r="B34" s="7">
        <v>0.66</v>
      </c>
      <c r="C34" s="7">
        <v>0.018117</v>
      </c>
      <c r="D34" s="1"/>
      <c r="E34" s="1"/>
      <c r="F34" s="1"/>
      <c r="G34" s="1"/>
      <c r="H34" s="1"/>
      <c r="I34" s="1"/>
      <c r="J34" s="1"/>
      <c r="K34" s="1"/>
    </row>
    <row r="35">
      <c r="A35" s="1"/>
      <c r="B35" s="7">
        <v>0.04</v>
      </c>
      <c r="C35" s="7">
        <v>0.018404</v>
      </c>
      <c r="D35" s="1"/>
      <c r="E35" s="1"/>
      <c r="F35" s="1"/>
      <c r="G35" s="1"/>
      <c r="H35" s="1"/>
      <c r="I35" s="1"/>
      <c r="J35" s="1"/>
      <c r="K35" s="1"/>
    </row>
    <row r="36">
      <c r="A36" s="1"/>
      <c r="B36" s="7">
        <v>0.97</v>
      </c>
      <c r="C36" s="7">
        <v>0.018681</v>
      </c>
      <c r="D36" s="1"/>
      <c r="E36" s="1"/>
      <c r="F36" s="1"/>
      <c r="G36" s="1"/>
      <c r="H36" s="1"/>
      <c r="I36" s="1"/>
      <c r="J36" s="1"/>
      <c r="K36" s="1"/>
    </row>
    <row r="37">
      <c r="A37" s="1"/>
      <c r="B37" s="7">
        <v>0.79</v>
      </c>
      <c r="C37" s="7">
        <v>0.018752</v>
      </c>
      <c r="D37" s="1"/>
      <c r="E37" s="1"/>
      <c r="F37" s="1"/>
      <c r="G37" s="1"/>
      <c r="H37" s="1"/>
      <c r="I37" s="1"/>
      <c r="J37" s="1"/>
      <c r="K37" s="1"/>
    </row>
    <row r="38">
      <c r="A38" s="1"/>
      <c r="B38" s="7">
        <v>0.45</v>
      </c>
      <c r="C38" s="7">
        <v>0.018753</v>
      </c>
      <c r="D38" s="1"/>
      <c r="E38" s="1"/>
      <c r="F38" s="1"/>
      <c r="G38" s="1"/>
      <c r="H38" s="1"/>
      <c r="I38" s="1"/>
      <c r="J38" s="1"/>
      <c r="K38" s="1"/>
    </row>
    <row r="39">
      <c r="A39" s="1"/>
      <c r="B39" s="7">
        <v>0.38</v>
      </c>
      <c r="C39" s="7">
        <v>0.019103</v>
      </c>
      <c r="D39" s="1"/>
      <c r="E39" s="1"/>
      <c r="F39" s="1"/>
      <c r="G39" s="1"/>
      <c r="H39" s="1"/>
      <c r="I39" s="1"/>
      <c r="J39" s="1"/>
      <c r="K39" s="1"/>
    </row>
    <row r="40">
      <c r="A40" s="1"/>
      <c r="B40" s="7">
        <v>0.86</v>
      </c>
      <c r="C40" s="7">
        <v>0.019103</v>
      </c>
      <c r="D40" s="1"/>
      <c r="E40" s="1"/>
      <c r="F40" s="1"/>
      <c r="G40" s="1"/>
      <c r="H40" s="1"/>
      <c r="I40" s="1"/>
      <c r="J40" s="1"/>
      <c r="K40" s="1"/>
    </row>
    <row r="41">
      <c r="A41" s="1"/>
      <c r="B41" s="7">
        <v>0.25</v>
      </c>
      <c r="C41" s="7">
        <v>0.019592</v>
      </c>
      <c r="D41" s="1"/>
      <c r="E41" s="1"/>
      <c r="F41" s="1"/>
      <c r="G41" s="1"/>
      <c r="H41" s="1"/>
      <c r="I41" s="1"/>
      <c r="J41" s="1"/>
      <c r="K41" s="1"/>
    </row>
    <row r="42">
      <c r="A42" s="1"/>
      <c r="B42" s="8">
        <v>0.24</v>
      </c>
      <c r="C42" s="8">
        <v>0.020309</v>
      </c>
      <c r="D42" s="1"/>
      <c r="E42" s="1"/>
      <c r="F42" s="1"/>
      <c r="G42" s="1"/>
      <c r="H42" s="1"/>
      <c r="I42" s="1"/>
      <c r="J42" s="1"/>
      <c r="K42" s="1"/>
    </row>
    <row r="43">
      <c r="A43" s="1"/>
      <c r="B43" s="8">
        <v>0.02</v>
      </c>
      <c r="C43" s="8">
        <v>0.020527</v>
      </c>
      <c r="D43" s="1"/>
      <c r="E43" s="1"/>
      <c r="F43" s="1"/>
      <c r="G43" s="1"/>
      <c r="H43" s="1"/>
      <c r="I43" s="1"/>
      <c r="J43" s="1"/>
      <c r="K43" s="1"/>
    </row>
    <row r="44">
      <c r="A44" s="1"/>
      <c r="B44" s="8">
        <v>0.81</v>
      </c>
      <c r="C44" s="8">
        <v>0.020887</v>
      </c>
      <c r="D44" s="1"/>
      <c r="E44" s="1"/>
      <c r="F44" s="1"/>
      <c r="G44" s="1"/>
      <c r="H44" s="1"/>
      <c r="I44" s="1"/>
      <c r="J44" s="1"/>
      <c r="K44" s="1"/>
    </row>
    <row r="45">
      <c r="A45" s="1"/>
      <c r="B45" s="8">
        <v>0.43</v>
      </c>
      <c r="C45" s="8">
        <v>0.020887</v>
      </c>
      <c r="D45" s="1"/>
      <c r="E45" s="1"/>
      <c r="F45" s="1"/>
      <c r="G45" s="1"/>
      <c r="H45" s="1"/>
      <c r="I45" s="1"/>
      <c r="J45" s="1"/>
      <c r="K45" s="1"/>
    </row>
    <row r="46">
      <c r="A46" s="1"/>
      <c r="B46" s="8">
        <v>0.98</v>
      </c>
      <c r="C46" s="8">
        <v>0.021241</v>
      </c>
      <c r="D46" s="1"/>
      <c r="E46" s="1"/>
      <c r="F46" s="1"/>
      <c r="G46" s="1"/>
      <c r="H46" s="1"/>
      <c r="I46" s="1"/>
      <c r="J46" s="1"/>
      <c r="K46" s="1"/>
    </row>
    <row r="47">
      <c r="A47" s="1"/>
      <c r="B47" s="8">
        <v>0.4</v>
      </c>
      <c r="C47" s="8">
        <v>0.021248</v>
      </c>
      <c r="D47" s="1"/>
      <c r="E47" s="1"/>
      <c r="F47" s="1"/>
      <c r="G47" s="1"/>
      <c r="H47" s="1"/>
      <c r="I47" s="1"/>
      <c r="J47" s="1"/>
      <c r="K47" s="1"/>
    </row>
    <row r="48">
      <c r="A48" s="1"/>
      <c r="B48" s="8">
        <v>0.84</v>
      </c>
      <c r="C48" s="8">
        <v>0.021248</v>
      </c>
      <c r="D48" s="1"/>
      <c r="E48" s="1"/>
      <c r="F48" s="1"/>
      <c r="G48" s="1"/>
      <c r="H48" s="1"/>
      <c r="I48" s="1"/>
      <c r="J48" s="1"/>
      <c r="K48" s="1"/>
    </row>
    <row r="49">
      <c r="A49" s="1"/>
      <c r="B49" s="8">
        <v>0.65</v>
      </c>
      <c r="C49" s="8">
        <v>0.02183</v>
      </c>
      <c r="D49" s="1"/>
      <c r="E49" s="1"/>
      <c r="F49" s="1"/>
      <c r="G49" s="1"/>
      <c r="H49" s="1"/>
      <c r="I49" s="1"/>
      <c r="J49" s="1"/>
      <c r="K49" s="1"/>
    </row>
    <row r="50">
      <c r="A50" s="1"/>
      <c r="B50" s="8">
        <v>0.08</v>
      </c>
      <c r="C50" s="8">
        <v>0.0219</v>
      </c>
      <c r="D50" s="1"/>
      <c r="E50" s="1"/>
      <c r="F50" s="1"/>
      <c r="G50" s="1"/>
      <c r="H50" s="1"/>
      <c r="I50" s="1"/>
      <c r="J50" s="1"/>
      <c r="K50" s="1"/>
    </row>
    <row r="51">
      <c r="A51" s="1"/>
      <c r="B51" s="9">
        <v>0.0</v>
      </c>
      <c r="C51" s="10">
        <v>0.0227</v>
      </c>
      <c r="D51" s="1"/>
      <c r="E51" s="1"/>
      <c r="F51" s="1"/>
      <c r="G51" s="1"/>
      <c r="H51" s="1"/>
      <c r="I51" s="1"/>
      <c r="J51" s="1"/>
      <c r="K51" s="1"/>
    </row>
    <row r="52">
      <c r="A52" s="1"/>
      <c r="B52" s="10">
        <v>0.57</v>
      </c>
      <c r="C52" s="10">
        <v>0.02277</v>
      </c>
      <c r="D52" s="1"/>
      <c r="E52" s="1"/>
      <c r="F52" s="1"/>
      <c r="G52" s="1"/>
      <c r="H52" s="1"/>
      <c r="I52" s="1"/>
      <c r="J52" s="1"/>
      <c r="K52" s="1"/>
    </row>
    <row r="53">
      <c r="A53" s="1"/>
      <c r="B53" s="10">
        <v>0.83</v>
      </c>
      <c r="C53" s="10">
        <v>0.023063</v>
      </c>
      <c r="D53" s="1"/>
      <c r="E53" s="1"/>
      <c r="F53" s="1"/>
      <c r="G53" s="1"/>
      <c r="H53" s="1"/>
      <c r="I53" s="1"/>
      <c r="J53" s="1"/>
      <c r="K53" s="1"/>
    </row>
    <row r="54">
      <c r="A54" s="1"/>
      <c r="B54" s="10">
        <v>0.41</v>
      </c>
      <c r="C54" s="10">
        <v>0.023064</v>
      </c>
      <c r="D54" s="1"/>
      <c r="E54" s="1"/>
      <c r="F54" s="1"/>
      <c r="G54" s="1"/>
      <c r="H54" s="1"/>
      <c r="I54" s="1"/>
      <c r="J54" s="1"/>
      <c r="K54" s="1"/>
    </row>
    <row r="55">
      <c r="A55" s="1"/>
      <c r="B55" s="10">
        <v>0.42</v>
      </c>
      <c r="C55" s="10">
        <v>0.023427</v>
      </c>
      <c r="D55" s="1"/>
      <c r="E55" s="1"/>
      <c r="F55" s="1"/>
      <c r="G55" s="1"/>
      <c r="H55" s="1"/>
      <c r="I55" s="1"/>
      <c r="J55" s="1"/>
      <c r="K55" s="1"/>
    </row>
    <row r="56">
      <c r="A56" s="1"/>
      <c r="B56" s="10">
        <v>0.82</v>
      </c>
      <c r="C56" s="10">
        <v>0.023427</v>
      </c>
      <c r="D56" s="1"/>
      <c r="E56" s="1"/>
      <c r="F56" s="1"/>
      <c r="G56" s="1"/>
      <c r="H56" s="1"/>
      <c r="I56" s="1"/>
      <c r="J56" s="1"/>
      <c r="K56" s="1"/>
    </row>
    <row r="57">
      <c r="A57" s="1"/>
      <c r="B57" s="10">
        <v>0.49</v>
      </c>
      <c r="C57" s="10">
        <v>0.02343</v>
      </c>
      <c r="D57" s="1"/>
      <c r="E57" s="1"/>
      <c r="F57" s="1"/>
      <c r="G57" s="1"/>
      <c r="H57" s="1"/>
      <c r="I57" s="1"/>
      <c r="J57" s="1"/>
      <c r="K57" s="1"/>
    </row>
    <row r="58">
      <c r="A58" s="1"/>
      <c r="B58" s="10">
        <v>0.01</v>
      </c>
      <c r="C58" s="10">
        <v>0.02379</v>
      </c>
      <c r="D58" s="1"/>
      <c r="E58" s="1"/>
      <c r="F58" s="1"/>
      <c r="G58" s="1"/>
      <c r="H58" s="1"/>
      <c r="I58" s="1"/>
      <c r="J58" s="1"/>
      <c r="K58" s="1"/>
    </row>
    <row r="59">
      <c r="A59" s="1"/>
      <c r="B59" s="10">
        <v>0.16</v>
      </c>
      <c r="C59" s="10">
        <v>0.024298</v>
      </c>
      <c r="D59" s="1"/>
      <c r="E59" s="1"/>
      <c r="F59" s="1"/>
      <c r="G59" s="1"/>
      <c r="H59" s="1"/>
      <c r="I59" s="1"/>
      <c r="J59" s="1"/>
      <c r="K59" s="1"/>
    </row>
    <row r="60">
      <c r="A60" s="1"/>
      <c r="B60" s="10">
        <v>0.73</v>
      </c>
      <c r="C60" s="10">
        <v>0.024368</v>
      </c>
      <c r="D60" s="1"/>
      <c r="E60" s="1"/>
      <c r="F60" s="1"/>
      <c r="G60" s="1"/>
      <c r="H60" s="1"/>
      <c r="I60" s="1"/>
      <c r="J60" s="1"/>
      <c r="K60" s="1"/>
    </row>
    <row r="61">
      <c r="A61" s="1"/>
      <c r="B61" s="10">
        <v>0.9</v>
      </c>
      <c r="C61" s="10">
        <v>0.024953</v>
      </c>
      <c r="D61" s="1"/>
      <c r="E61" s="1"/>
      <c r="F61" s="1"/>
      <c r="G61" s="1"/>
      <c r="H61" s="1"/>
      <c r="I61" s="1"/>
      <c r="J61" s="1"/>
      <c r="K61" s="1"/>
    </row>
    <row r="62">
      <c r="A62" s="1"/>
      <c r="B62" s="10">
        <v>0.33</v>
      </c>
      <c r="C62" s="10">
        <v>0.025022</v>
      </c>
      <c r="D62" s="1"/>
      <c r="E62" s="1"/>
      <c r="F62" s="1"/>
      <c r="G62" s="1"/>
      <c r="H62" s="1"/>
      <c r="I62" s="1"/>
      <c r="J62" s="1"/>
      <c r="K62" s="1"/>
    </row>
    <row r="63">
      <c r="A63" s="1"/>
      <c r="B63" s="10">
        <v>0.85</v>
      </c>
      <c r="C63" s="10">
        <v>0.025231</v>
      </c>
      <c r="D63" s="1"/>
      <c r="E63" s="1"/>
      <c r="F63" s="1"/>
      <c r="G63" s="1"/>
      <c r="H63" s="1"/>
      <c r="I63" s="1"/>
      <c r="J63" s="1"/>
      <c r="K63" s="1"/>
    </row>
    <row r="64">
      <c r="A64" s="1"/>
      <c r="B64" s="10">
        <v>0.39</v>
      </c>
      <c r="C64" s="10">
        <v>0.025232</v>
      </c>
      <c r="D64" s="1"/>
      <c r="E64" s="1"/>
      <c r="F64" s="1"/>
      <c r="G64" s="1"/>
      <c r="H64" s="1"/>
      <c r="I64" s="1"/>
      <c r="J64" s="1"/>
      <c r="K64" s="1"/>
    </row>
    <row r="65">
      <c r="A65" s="1"/>
      <c r="B65" s="11">
        <v>0.44</v>
      </c>
      <c r="C65" s="11">
        <v>0.025588</v>
      </c>
      <c r="D65" s="1"/>
      <c r="E65" s="1"/>
      <c r="F65" s="1"/>
      <c r="G65" s="1"/>
      <c r="H65" s="1"/>
      <c r="I65" s="1"/>
      <c r="J65" s="1"/>
      <c r="K65" s="1"/>
    </row>
    <row r="66">
      <c r="A66" s="1"/>
      <c r="B66" s="11">
        <v>0.8</v>
      </c>
      <c r="C66" s="11">
        <v>0.025589</v>
      </c>
      <c r="D66" s="1"/>
      <c r="E66" s="1"/>
      <c r="F66" s="1"/>
      <c r="G66" s="1"/>
      <c r="H66" s="1"/>
      <c r="I66" s="1"/>
      <c r="J66" s="1"/>
      <c r="K66" s="1"/>
    </row>
    <row r="67">
      <c r="A67" s="1"/>
      <c r="B67" s="11">
        <v>0.32</v>
      </c>
      <c r="C67" s="11">
        <v>0.025876</v>
      </c>
      <c r="D67" s="1"/>
      <c r="E67" s="1"/>
      <c r="F67" s="1"/>
      <c r="G67" s="1"/>
      <c r="H67" s="1"/>
      <c r="I67" s="1"/>
      <c r="J67" s="1"/>
      <c r="K67" s="1"/>
    </row>
    <row r="68">
      <c r="A68" s="1"/>
      <c r="B68" s="11">
        <v>0.03</v>
      </c>
      <c r="C68" s="11">
        <v>0.025944</v>
      </c>
      <c r="D68" s="1"/>
      <c r="E68" s="1"/>
      <c r="F68" s="1"/>
      <c r="G68" s="1"/>
      <c r="H68" s="1"/>
      <c r="I68" s="1"/>
      <c r="J68" s="1"/>
      <c r="K68" s="1"/>
    </row>
    <row r="69">
      <c r="A69" s="1"/>
      <c r="B69" s="11">
        <v>0.89</v>
      </c>
      <c r="C69" s="11">
        <v>0.025945</v>
      </c>
      <c r="D69" s="1"/>
      <c r="E69" s="1"/>
      <c r="F69" s="1"/>
      <c r="G69" s="1"/>
      <c r="H69" s="1"/>
      <c r="I69" s="1"/>
      <c r="J69" s="1"/>
      <c r="K69" s="1"/>
    </row>
    <row r="70">
      <c r="A70" s="1"/>
      <c r="B70" s="11">
        <v>0.74</v>
      </c>
      <c r="C70" s="11">
        <v>0.026517</v>
      </c>
      <c r="D70" s="1"/>
      <c r="E70" s="1"/>
      <c r="F70" s="1"/>
      <c r="G70" s="1"/>
      <c r="H70" s="1"/>
      <c r="I70" s="1"/>
      <c r="J70" s="1"/>
      <c r="K70" s="1"/>
    </row>
    <row r="71">
      <c r="A71" s="1"/>
      <c r="B71" s="11">
        <v>0.17</v>
      </c>
      <c r="C71" s="11">
        <v>0.026585</v>
      </c>
      <c r="D71" s="1"/>
      <c r="E71" s="1"/>
      <c r="F71" s="1"/>
      <c r="G71" s="1"/>
      <c r="H71" s="1"/>
      <c r="I71" s="1"/>
      <c r="J71" s="1"/>
      <c r="K71" s="1"/>
    </row>
    <row r="72">
      <c r="A72" s="1"/>
      <c r="B72" s="11">
        <v>0.87</v>
      </c>
      <c r="C72" s="11">
        <v>0.027341</v>
      </c>
      <c r="D72" s="1"/>
      <c r="E72" s="1"/>
      <c r="F72" s="1"/>
      <c r="G72" s="1"/>
      <c r="H72" s="1"/>
      <c r="I72" s="1"/>
      <c r="J72" s="1"/>
      <c r="K72" s="1"/>
    </row>
    <row r="73">
      <c r="A73" s="1"/>
      <c r="B73" s="11">
        <v>0.37</v>
      </c>
      <c r="C73" s="11">
        <v>0.027341</v>
      </c>
      <c r="D73" s="1"/>
      <c r="E73" s="1"/>
      <c r="F73" s="1"/>
      <c r="G73" s="1"/>
      <c r="H73" s="1"/>
      <c r="I73" s="1"/>
      <c r="J73" s="1"/>
      <c r="K73" s="1"/>
    </row>
    <row r="74">
      <c r="A74" s="1"/>
      <c r="B74" s="11">
        <v>0.48</v>
      </c>
      <c r="C74" s="11">
        <v>0.027415</v>
      </c>
      <c r="D74" s="1"/>
      <c r="E74" s="1"/>
      <c r="F74" s="1"/>
      <c r="G74" s="1"/>
      <c r="H74" s="1"/>
      <c r="I74" s="1"/>
      <c r="J74" s="1"/>
      <c r="K74" s="1"/>
    </row>
    <row r="75">
      <c r="A75" s="1"/>
      <c r="B75" s="11">
        <v>0.46</v>
      </c>
      <c r="C75" s="11">
        <v>0.027684</v>
      </c>
      <c r="D75" s="1"/>
      <c r="E75" s="1"/>
      <c r="F75" s="1"/>
      <c r="G75" s="1"/>
      <c r="H75" s="1"/>
      <c r="I75" s="1"/>
      <c r="J75" s="1"/>
      <c r="K75" s="1"/>
    </row>
    <row r="76">
      <c r="A76" s="1"/>
      <c r="B76" s="11">
        <v>0.78</v>
      </c>
      <c r="C76" s="11">
        <v>0.027684</v>
      </c>
      <c r="D76" s="1"/>
      <c r="E76" s="1"/>
      <c r="F76" s="1"/>
      <c r="G76" s="1"/>
      <c r="H76" s="1"/>
      <c r="I76" s="1"/>
      <c r="J76" s="1"/>
      <c r="K76" s="1"/>
    </row>
    <row r="77">
      <c r="A77" s="1"/>
      <c r="B77" s="11">
        <v>0.05</v>
      </c>
      <c r="C77" s="11">
        <v>0.028023</v>
      </c>
      <c r="D77" s="1"/>
      <c r="E77" s="1"/>
      <c r="F77" s="1"/>
      <c r="G77" s="1"/>
      <c r="H77" s="1"/>
      <c r="I77" s="1"/>
      <c r="J77" s="1"/>
      <c r="K77" s="1"/>
    </row>
    <row r="78">
      <c r="A78" s="1"/>
      <c r="B78" s="11">
        <v>0.58</v>
      </c>
      <c r="C78" s="11">
        <v>0.028034</v>
      </c>
      <c r="D78" s="1"/>
      <c r="E78" s="1"/>
      <c r="F78" s="1"/>
      <c r="G78" s="1"/>
      <c r="H78" s="1"/>
      <c r="I78" s="1"/>
      <c r="J78" s="1"/>
      <c r="K78" s="1"/>
    </row>
    <row r="79">
      <c r="A79" s="1"/>
      <c r="B79" s="12">
        <v>0.07</v>
      </c>
      <c r="C79" s="12">
        <v>0.028832</v>
      </c>
      <c r="D79" s="1"/>
      <c r="E79" s="1"/>
      <c r="F79" s="1"/>
      <c r="G79" s="1"/>
      <c r="H79" s="1"/>
      <c r="I79" s="1"/>
      <c r="J79" s="1"/>
      <c r="K79" s="1"/>
    </row>
    <row r="80">
      <c r="A80" s="1"/>
      <c r="B80" s="12">
        <v>0.64</v>
      </c>
      <c r="C80" s="12">
        <v>0.028895</v>
      </c>
      <c r="D80" s="1"/>
      <c r="E80" s="1"/>
      <c r="F80" s="1"/>
      <c r="G80" s="1"/>
      <c r="H80" s="1"/>
      <c r="I80" s="1"/>
      <c r="J80" s="1"/>
      <c r="K80" s="1"/>
    </row>
    <row r="81">
      <c r="A81" s="1"/>
      <c r="B81" s="12">
        <v>0.35</v>
      </c>
      <c r="C81" s="12">
        <v>0.029344</v>
      </c>
      <c r="D81" s="1"/>
      <c r="E81" s="1"/>
      <c r="F81" s="1"/>
      <c r="G81" s="1"/>
      <c r="H81" s="1"/>
      <c r="I81" s="1"/>
      <c r="J81" s="1"/>
      <c r="K81" s="1"/>
    </row>
    <row r="82">
      <c r="A82" s="1"/>
      <c r="B82" s="12">
        <v>0.99</v>
      </c>
      <c r="C82" s="12">
        <v>0.029423</v>
      </c>
      <c r="D82" s="1"/>
      <c r="E82" s="1"/>
      <c r="F82" s="1"/>
      <c r="G82" s="1"/>
      <c r="H82" s="1"/>
      <c r="I82" s="1"/>
      <c r="J82" s="1"/>
      <c r="K82" s="1"/>
    </row>
    <row r="83">
      <c r="A83" s="1"/>
      <c r="B83" s="12">
        <v>0.76</v>
      </c>
      <c r="C83" s="12">
        <v>0.029664</v>
      </c>
      <c r="D83" s="1"/>
      <c r="E83" s="1"/>
      <c r="F83" s="1"/>
      <c r="G83" s="1"/>
      <c r="H83" s="1"/>
      <c r="I83" s="1"/>
      <c r="J83" s="1"/>
      <c r="K83" s="1"/>
    </row>
    <row r="84">
      <c r="A84" s="1"/>
      <c r="B84" s="12">
        <v>0.23</v>
      </c>
      <c r="C84" s="12">
        <v>0.030239</v>
      </c>
      <c r="D84" s="1"/>
      <c r="E84" s="1"/>
      <c r="F84" s="1"/>
      <c r="G84" s="1"/>
      <c r="H84" s="1"/>
      <c r="I84" s="1"/>
      <c r="J84" s="1"/>
      <c r="K84" s="1"/>
    </row>
    <row r="85">
      <c r="A85" s="1"/>
      <c r="B85" s="12">
        <v>0.26</v>
      </c>
      <c r="C85" s="12">
        <v>0.03085</v>
      </c>
      <c r="D85" s="1"/>
      <c r="E85" s="1"/>
      <c r="F85" s="1"/>
      <c r="G85" s="1"/>
      <c r="H85" s="1"/>
      <c r="I85" s="1"/>
      <c r="J85" s="1"/>
      <c r="K85" s="1"/>
    </row>
    <row r="86">
      <c r="A86" s="1"/>
      <c r="B86" s="5">
        <v>0.96</v>
      </c>
      <c r="C86" s="5">
        <v>0.031607</v>
      </c>
      <c r="D86" s="1"/>
      <c r="E86" s="1"/>
      <c r="F86" s="1"/>
      <c r="G86" s="1"/>
      <c r="H86" s="1"/>
      <c r="I86" s="1"/>
      <c r="J86" s="1"/>
      <c r="K86" s="1"/>
    </row>
    <row r="87">
      <c r="A87" s="1"/>
      <c r="B87" s="5">
        <v>0.67</v>
      </c>
      <c r="C87" s="5">
        <v>0.032062</v>
      </c>
      <c r="D87" s="1"/>
      <c r="E87" s="1"/>
      <c r="F87" s="1"/>
      <c r="G87" s="1"/>
      <c r="H87" s="1"/>
      <c r="I87" s="1"/>
      <c r="J87" s="1"/>
      <c r="K87" s="1"/>
    </row>
    <row r="88">
      <c r="A88" s="1"/>
      <c r="B88" s="5">
        <v>0.1</v>
      </c>
      <c r="C88" s="5">
        <v>0.032115</v>
      </c>
      <c r="D88" s="1"/>
      <c r="E88" s="1"/>
      <c r="F88" s="1"/>
      <c r="G88" s="1"/>
      <c r="H88" s="1"/>
      <c r="I88" s="1"/>
      <c r="J88" s="1"/>
      <c r="K88" s="1"/>
    </row>
    <row r="89">
      <c r="A89" s="1"/>
      <c r="B89" s="5">
        <v>0.55</v>
      </c>
      <c r="C89" s="5">
        <v>0.032755</v>
      </c>
      <c r="D89" s="1"/>
      <c r="E89" s="1"/>
      <c r="F89" s="1"/>
      <c r="G89" s="1"/>
      <c r="H89" s="1"/>
      <c r="I89" s="1"/>
      <c r="J89" s="1"/>
      <c r="K89" s="1"/>
    </row>
    <row r="90">
      <c r="A90" s="1"/>
      <c r="B90" s="5">
        <v>0.93</v>
      </c>
      <c r="C90" s="5">
        <v>0.032847</v>
      </c>
      <c r="D90" s="1"/>
      <c r="E90" s="1"/>
      <c r="F90" s="1"/>
      <c r="G90" s="1"/>
      <c r="H90" s="1"/>
      <c r="I90" s="1"/>
      <c r="J90" s="1"/>
      <c r="K90" s="1"/>
    </row>
    <row r="91">
      <c r="A91" s="1"/>
      <c r="B91" s="5">
        <v>0.52</v>
      </c>
      <c r="C91" s="5">
        <v>0.033101</v>
      </c>
      <c r="D91" s="1"/>
      <c r="E91" s="1"/>
      <c r="F91" s="1"/>
      <c r="G91" s="1"/>
      <c r="H91" s="1"/>
      <c r="I91" s="1"/>
      <c r="J91" s="1"/>
      <c r="K91" s="1"/>
    </row>
    <row r="92">
      <c r="A92" s="1"/>
      <c r="B92" s="5">
        <v>0.11</v>
      </c>
      <c r="C92" s="5">
        <v>0.033348</v>
      </c>
      <c r="D92" s="1"/>
      <c r="E92" s="1"/>
      <c r="F92" s="1"/>
      <c r="G92" s="1"/>
      <c r="H92" s="1"/>
      <c r="I92" s="1"/>
      <c r="J92" s="1"/>
      <c r="K92" s="1"/>
    </row>
    <row r="93">
      <c r="A93" s="1"/>
      <c r="B93" s="5">
        <v>0.14</v>
      </c>
      <c r="C93" s="5">
        <v>0.033788</v>
      </c>
      <c r="D93" s="1"/>
      <c r="E93" s="1"/>
      <c r="F93" s="1"/>
      <c r="G93" s="1"/>
      <c r="H93" s="1"/>
      <c r="I93" s="1"/>
      <c r="J93" s="1"/>
      <c r="K93" s="1"/>
    </row>
    <row r="94">
      <c r="A94" s="1"/>
      <c r="B94" s="8">
        <v>0.95</v>
      </c>
      <c r="C94" s="8">
        <v>0.034266</v>
      </c>
      <c r="D94" s="1"/>
      <c r="E94" s="1"/>
      <c r="F94" s="1"/>
      <c r="G94" s="1"/>
      <c r="H94" s="1"/>
      <c r="I94" s="1"/>
      <c r="J94" s="1"/>
      <c r="K94" s="1"/>
    </row>
    <row r="95">
      <c r="A95" s="1"/>
      <c r="B95" s="8">
        <v>0.29</v>
      </c>
      <c r="C95" s="8">
        <v>0.034267</v>
      </c>
      <c r="D95" s="1"/>
      <c r="E95" s="1"/>
      <c r="F95" s="1"/>
      <c r="G95" s="1"/>
      <c r="H95" s="1"/>
      <c r="I95" s="1"/>
      <c r="J95" s="1"/>
      <c r="K95" s="1"/>
    </row>
    <row r="96">
      <c r="A96" s="1"/>
      <c r="B96" s="8">
        <v>0.54</v>
      </c>
      <c r="C96" s="8">
        <v>0.034478</v>
      </c>
      <c r="D96" s="1"/>
      <c r="E96" s="1"/>
      <c r="F96" s="1"/>
      <c r="G96" s="1"/>
      <c r="H96" s="1"/>
      <c r="I96" s="1"/>
      <c r="J96" s="1"/>
      <c r="K96" s="1"/>
    </row>
    <row r="97">
      <c r="A97" s="1"/>
      <c r="B97" s="8">
        <v>0.7</v>
      </c>
      <c r="C97" s="8">
        <v>0.034478</v>
      </c>
      <c r="D97" s="1"/>
      <c r="E97" s="1"/>
      <c r="F97" s="1"/>
      <c r="G97" s="1"/>
      <c r="H97" s="1"/>
      <c r="I97" s="1"/>
      <c r="J97" s="1"/>
      <c r="K97" s="1"/>
    </row>
    <row r="98">
      <c r="A98" s="1"/>
      <c r="B98" s="8">
        <v>0.13</v>
      </c>
      <c r="C98" s="8">
        <v>0.034682</v>
      </c>
      <c r="D98" s="1"/>
      <c r="E98" s="1"/>
      <c r="F98" s="1"/>
      <c r="G98" s="1"/>
      <c r="H98" s="1"/>
      <c r="I98" s="1"/>
      <c r="J98" s="1"/>
      <c r="K98" s="1"/>
    </row>
    <row r="99">
      <c r="A99" s="1"/>
      <c r="B99" s="8">
        <v>0.19</v>
      </c>
      <c r="C99" s="8">
        <v>0.035116</v>
      </c>
      <c r="D99" s="1"/>
      <c r="E99" s="1"/>
      <c r="F99" s="1"/>
      <c r="G99" s="1"/>
      <c r="H99" s="1"/>
      <c r="I99" s="1"/>
      <c r="J99" s="1"/>
      <c r="K99" s="1"/>
    </row>
    <row r="100">
      <c r="A100" s="1"/>
      <c r="B100" s="8">
        <v>0.6</v>
      </c>
      <c r="C100" s="8">
        <v>0.035812</v>
      </c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8">
        <v>0.62</v>
      </c>
      <c r="C101" s="8">
        <v>0.036165</v>
      </c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8">
        <v>0.21</v>
      </c>
      <c r="C102" s="8">
        <v>0.036617</v>
      </c>
      <c r="D102" s="1"/>
      <c r="E102" s="1"/>
      <c r="F102" s="1"/>
      <c r="G102" s="1"/>
      <c r="H102" s="1"/>
      <c r="I102" s="1"/>
      <c r="J102" s="1"/>
      <c r="K1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</row>
    <row r="2">
      <c r="A2" s="13" t="s">
        <v>12</v>
      </c>
      <c r="B2" s="14">
        <v>0.03</v>
      </c>
      <c r="C2" s="15">
        <v>0.0083</v>
      </c>
      <c r="D2" s="16">
        <f>B2+(B2-C2)</f>
        <v>0.0517</v>
      </c>
      <c r="E2" s="16">
        <f t="shared" ref="E2:E8" si="1">(C2+D2)/2</f>
        <v>0.03</v>
      </c>
      <c r="F2" s="16">
        <f t="shared" ref="F2:F8" si="2">(D2-C2)/2</f>
        <v>0.0217</v>
      </c>
      <c r="G2" s="16">
        <f t="shared" ref="G2:G8" si="3">(D2+C2)/2</f>
        <v>0.03</v>
      </c>
      <c r="H2" s="13">
        <v>4.252800263E9</v>
      </c>
      <c r="I2" s="13">
        <v>8.519335619E9</v>
      </c>
    </row>
    <row r="3">
      <c r="A3" s="13" t="s">
        <v>13</v>
      </c>
      <c r="B3" s="14">
        <v>0.07</v>
      </c>
      <c r="C3" s="13">
        <v>0.01</v>
      </c>
      <c r="D3" s="17">
        <v>0.21</v>
      </c>
      <c r="E3" s="16">
        <f t="shared" si="1"/>
        <v>0.11</v>
      </c>
      <c r="F3" s="16">
        <f t="shared" si="2"/>
        <v>0.1</v>
      </c>
      <c r="G3" s="16">
        <f t="shared" si="3"/>
        <v>0.11</v>
      </c>
      <c r="H3" s="13">
        <v>7.276126189E9</v>
      </c>
      <c r="I3" s="13">
        <v>1.776939599E9</v>
      </c>
    </row>
    <row r="4">
      <c r="A4" s="13" t="s">
        <v>14</v>
      </c>
      <c r="B4" s="14">
        <v>0.08</v>
      </c>
      <c r="C4" s="13">
        <v>0.025</v>
      </c>
      <c r="D4" s="18">
        <v>0.175</v>
      </c>
      <c r="E4" s="16">
        <f t="shared" si="1"/>
        <v>0.1</v>
      </c>
      <c r="F4" s="16">
        <f t="shared" si="2"/>
        <v>0.075</v>
      </c>
      <c r="G4" s="16">
        <f t="shared" si="3"/>
        <v>0.1</v>
      </c>
      <c r="H4" s="13">
        <v>5.499973489E9</v>
      </c>
      <c r="I4" s="13">
        <v>8.530579613E9</v>
      </c>
    </row>
    <row r="5">
      <c r="A5" s="13" t="s">
        <v>15</v>
      </c>
      <c r="B5" s="14">
        <v>0.1</v>
      </c>
      <c r="C5" s="15">
        <v>0.0227</v>
      </c>
      <c r="D5" s="16">
        <f>B5+(B5-C5)</f>
        <v>0.1773</v>
      </c>
      <c r="E5" s="16">
        <f t="shared" si="1"/>
        <v>0.1</v>
      </c>
      <c r="F5" s="16">
        <f t="shared" si="2"/>
        <v>0.0773</v>
      </c>
      <c r="G5" s="16">
        <f t="shared" si="3"/>
        <v>0.1</v>
      </c>
      <c r="H5" s="13">
        <v>7.197249239E9</v>
      </c>
      <c r="I5" s="13">
        <v>1.909621843E9</v>
      </c>
    </row>
    <row r="6">
      <c r="A6" s="13" t="s">
        <v>16</v>
      </c>
      <c r="B6" s="14">
        <v>0.01</v>
      </c>
      <c r="C6" s="13">
        <v>0.008</v>
      </c>
      <c r="D6" s="13">
        <v>0.012</v>
      </c>
      <c r="E6" s="16">
        <f t="shared" si="1"/>
        <v>0.01</v>
      </c>
      <c r="F6" s="16">
        <f t="shared" si="2"/>
        <v>0.002</v>
      </c>
      <c r="G6" s="16">
        <f t="shared" si="3"/>
        <v>0.01</v>
      </c>
      <c r="H6" s="19">
        <v>9.765037697E9</v>
      </c>
      <c r="I6" s="13">
        <v>8.153781173E9</v>
      </c>
    </row>
    <row r="7">
      <c r="A7" s="13" t="s">
        <v>17</v>
      </c>
      <c r="B7" s="14">
        <v>0.5</v>
      </c>
      <c r="C7" s="13">
        <v>0.25</v>
      </c>
      <c r="D7" s="13">
        <v>1.5</v>
      </c>
      <c r="E7" s="16">
        <f t="shared" si="1"/>
        <v>0.875</v>
      </c>
      <c r="F7" s="16">
        <f t="shared" si="2"/>
        <v>0.625</v>
      </c>
      <c r="G7" s="16">
        <f t="shared" si="3"/>
        <v>0.875</v>
      </c>
      <c r="H7" s="13">
        <v>5.184725759E9</v>
      </c>
      <c r="I7" s="13">
        <v>8.846553293E9</v>
      </c>
    </row>
    <row r="8">
      <c r="A8" s="13" t="s">
        <v>18</v>
      </c>
      <c r="B8" s="14">
        <v>-0.12</v>
      </c>
      <c r="C8" s="16">
        <f>B8-(D8-B8)</f>
        <v>-0.202</v>
      </c>
      <c r="D8" s="14">
        <v>-0.038</v>
      </c>
      <c r="E8" s="16">
        <f t="shared" si="1"/>
        <v>-0.12</v>
      </c>
      <c r="F8" s="16">
        <f t="shared" si="2"/>
        <v>0.082</v>
      </c>
      <c r="G8" s="16">
        <f t="shared" si="3"/>
        <v>-0.12</v>
      </c>
      <c r="H8" s="20">
        <v>1.548255677E9</v>
      </c>
      <c r="I8" s="20">
        <v>5.660641043E9</v>
      </c>
      <c r="J8" s="21"/>
      <c r="K8" s="21"/>
      <c r="L8" s="20"/>
    </row>
    <row r="9">
      <c r="A9" s="16" t="str">
        <f t="shared" ref="A9:I9" si="4">TEXTJOIN(",",,A2:A8)</f>
        <v>Ua,Ui,Ga,Gi,Da,Di,Ba</v>
      </c>
      <c r="B9" s="16" t="str">
        <f t="shared" si="4"/>
        <v>0.03,0.07,0.08,0.1,0.01,0.5,-0.12</v>
      </c>
      <c r="C9" s="16" t="str">
        <f t="shared" si="4"/>
        <v>0.0083,0.01,0.025,0.0227,0.008,0.25,-0.202</v>
      </c>
      <c r="D9" s="16" t="str">
        <f t="shared" si="4"/>
        <v>0.0517,0.21,0.175,0.1773,0.012,1.5,-0.038</v>
      </c>
      <c r="E9" s="16" t="str">
        <f t="shared" si="4"/>
        <v>0.03,0.11,0.1,0.1,0.01,0.875,-0.12</v>
      </c>
      <c r="F9" s="16" t="str">
        <f t="shared" si="4"/>
        <v>0.0217,0.1,0.075,0.0773,0.002,0.625,0.082</v>
      </c>
      <c r="G9" s="16" t="str">
        <f t="shared" si="4"/>
        <v>0.03,0.11,0.1,0.1,0.01,0.875,-0.12</v>
      </c>
      <c r="H9" s="16" t="str">
        <f t="shared" si="4"/>
        <v>4252800263,7276126189,5499973489,7197249239,9765037697,5184725759,1548255677</v>
      </c>
      <c r="I9" s="16" t="str">
        <f t="shared" si="4"/>
        <v>8519335619,1776939599,8530579613,1909621843,8153781173,8846553293,5660641043</v>
      </c>
      <c r="J9" s="14"/>
      <c r="K9" s="14"/>
      <c r="L9" s="14"/>
    </row>
    <row r="10">
      <c r="F10" s="22"/>
      <c r="G10" s="22"/>
      <c r="H10" s="14"/>
      <c r="I10" s="14"/>
      <c r="J10" s="14"/>
      <c r="K10" s="14"/>
      <c r="L10" s="14"/>
    </row>
    <row r="11">
      <c r="A11" s="20" t="s">
        <v>19</v>
      </c>
      <c r="B11" s="21"/>
      <c r="C11" s="21" t="s">
        <v>4</v>
      </c>
      <c r="D11" s="21" t="s">
        <v>20</v>
      </c>
      <c r="E11" s="21" t="s">
        <v>21</v>
      </c>
      <c r="F11" s="21" t="s">
        <v>22</v>
      </c>
      <c r="G11" s="23" t="s">
        <v>23</v>
      </c>
      <c r="H11" s="17" t="s">
        <v>24</v>
      </c>
      <c r="I11" s="14"/>
      <c r="J11" s="14"/>
      <c r="K11" s="14"/>
      <c r="L11" s="14"/>
    </row>
    <row r="12">
      <c r="A12" s="21"/>
      <c r="B12" s="21"/>
      <c r="C12" s="21"/>
      <c r="D12" s="21"/>
      <c r="E12" s="21"/>
      <c r="F12" s="21"/>
      <c r="G12" s="22"/>
      <c r="H12" s="14"/>
      <c r="I12" s="14"/>
      <c r="J12" s="14"/>
      <c r="K12" s="14"/>
      <c r="L12" s="14"/>
    </row>
    <row r="13">
      <c r="A13" s="24" t="s">
        <v>12</v>
      </c>
      <c r="B13" s="24" t="s">
        <v>25</v>
      </c>
      <c r="C13" s="15">
        <v>0.03</v>
      </c>
      <c r="D13" s="15">
        <v>0.0083</v>
      </c>
      <c r="E13" s="15">
        <f t="shared" ref="E13:E18" si="5">AVERAGE(D13,F13)</f>
        <v>0.02265</v>
      </c>
      <c r="F13" s="15">
        <v>0.037</v>
      </c>
      <c r="G13" s="25">
        <f t="shared" ref="G13:G19" si="6">C13-D13</f>
        <v>0.0217</v>
      </c>
      <c r="H13" s="14">
        <f t="shared" ref="H13:H19" si="7">F13-C13</f>
        <v>0.007</v>
      </c>
      <c r="I13" s="14"/>
      <c r="J13" s="14"/>
      <c r="K13" s="14"/>
      <c r="L13" s="14"/>
    </row>
    <row r="14">
      <c r="A14" s="22" t="s">
        <v>13</v>
      </c>
      <c r="B14" s="22" t="s">
        <v>26</v>
      </c>
      <c r="C14" s="14">
        <v>0.07</v>
      </c>
      <c r="D14" s="14">
        <v>0.045</v>
      </c>
      <c r="E14" s="14">
        <f t="shared" si="5"/>
        <v>0.1425</v>
      </c>
      <c r="F14" s="14">
        <v>0.24</v>
      </c>
      <c r="G14" s="22">
        <f t="shared" si="6"/>
        <v>0.025</v>
      </c>
      <c r="H14" s="26">
        <f t="shared" si="7"/>
        <v>0.17</v>
      </c>
      <c r="I14" s="14"/>
      <c r="J14" s="14"/>
      <c r="K14" s="14"/>
      <c r="L14" s="14"/>
    </row>
    <row r="15">
      <c r="A15" s="24" t="s">
        <v>14</v>
      </c>
      <c r="B15" s="24" t="s">
        <v>27</v>
      </c>
      <c r="C15" s="15">
        <v>0.08</v>
      </c>
      <c r="D15" s="15">
        <v>0.075</v>
      </c>
      <c r="E15" s="15">
        <f t="shared" si="5"/>
        <v>0.1425</v>
      </c>
      <c r="F15" s="15">
        <v>0.21</v>
      </c>
      <c r="G15" s="22">
        <f t="shared" si="6"/>
        <v>0.005</v>
      </c>
      <c r="H15" s="26">
        <f t="shared" si="7"/>
        <v>0.13</v>
      </c>
      <c r="I15" s="14"/>
      <c r="J15" s="14"/>
      <c r="K15" s="14"/>
      <c r="L15" s="14"/>
    </row>
    <row r="16">
      <c r="A16" s="24" t="s">
        <v>15</v>
      </c>
      <c r="B16" s="24" t="s">
        <v>28</v>
      </c>
      <c r="C16" s="15">
        <v>0.1</v>
      </c>
      <c r="D16" s="15">
        <v>0.0227</v>
      </c>
      <c r="E16" s="15">
        <f t="shared" si="5"/>
        <v>0.07135</v>
      </c>
      <c r="F16" s="15">
        <v>0.12</v>
      </c>
      <c r="G16" s="25">
        <f t="shared" si="6"/>
        <v>0.0773</v>
      </c>
      <c r="H16" s="14">
        <f t="shared" si="7"/>
        <v>0.02</v>
      </c>
    </row>
    <row r="17">
      <c r="A17" s="22" t="s">
        <v>16</v>
      </c>
      <c r="B17" s="22" t="s">
        <v>29</v>
      </c>
      <c r="C17" s="14">
        <v>0.01</v>
      </c>
      <c r="D17" s="14">
        <v>0.0</v>
      </c>
      <c r="E17" s="14">
        <f t="shared" si="5"/>
        <v>0.0065</v>
      </c>
      <c r="F17" s="14">
        <v>0.013</v>
      </c>
      <c r="G17" s="25">
        <f t="shared" si="6"/>
        <v>0.01</v>
      </c>
      <c r="H17" s="14">
        <f t="shared" si="7"/>
        <v>0.003</v>
      </c>
    </row>
    <row r="18">
      <c r="A18" s="22" t="s">
        <v>17</v>
      </c>
      <c r="B18" s="22" t="s">
        <v>30</v>
      </c>
      <c r="C18" s="14">
        <v>0.5</v>
      </c>
      <c r="D18" s="14">
        <v>0.5</v>
      </c>
      <c r="E18" s="14">
        <f t="shared" si="5"/>
        <v>1.75</v>
      </c>
      <c r="F18" s="14">
        <v>3.0</v>
      </c>
      <c r="G18" s="22">
        <f t="shared" si="6"/>
        <v>0</v>
      </c>
      <c r="H18" s="26">
        <f t="shared" si="7"/>
        <v>2.5</v>
      </c>
    </row>
    <row r="19">
      <c r="A19" s="22" t="s">
        <v>18</v>
      </c>
      <c r="B19" s="22" t="s">
        <v>31</v>
      </c>
      <c r="C19" s="14">
        <v>-0.12</v>
      </c>
      <c r="D19" s="14">
        <v>-0.138</v>
      </c>
      <c r="E19" s="14">
        <v>1.0</v>
      </c>
      <c r="F19" s="14">
        <v>-0.038</v>
      </c>
      <c r="G19" s="22">
        <f t="shared" si="6"/>
        <v>0.018</v>
      </c>
      <c r="H19" s="26">
        <f t="shared" si="7"/>
        <v>0.082</v>
      </c>
    </row>
    <row r="21">
      <c r="A21" s="24"/>
      <c r="B21" s="24"/>
      <c r="C21" s="15"/>
      <c r="D21" s="15"/>
      <c r="E21" s="15"/>
      <c r="F21" s="15"/>
      <c r="G21" s="22"/>
      <c r="H21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</row>
    <row r="2">
      <c r="A2" s="13" t="s">
        <v>12</v>
      </c>
      <c r="B2" s="14">
        <v>0.03</v>
      </c>
      <c r="C2" s="15">
        <v>0.0083</v>
      </c>
      <c r="D2" s="16">
        <f>B2+(B2-C2)</f>
        <v>0.0517</v>
      </c>
      <c r="E2" s="16">
        <f t="shared" ref="E2:E8" si="1">(C2+D2)/2</f>
        <v>0.03</v>
      </c>
      <c r="F2" s="16">
        <f t="shared" ref="F2:F8" si="2">(D2-C2)/2</f>
        <v>0.0217</v>
      </c>
      <c r="G2" s="16">
        <f t="shared" ref="G2:G8" si="3">(D2+C2)/2</f>
        <v>0.03</v>
      </c>
      <c r="H2" s="13">
        <v>4.252800263E9</v>
      </c>
      <c r="I2" s="13">
        <v>8.519335619E9</v>
      </c>
    </row>
    <row r="3">
      <c r="A3" s="13" t="s">
        <v>13</v>
      </c>
      <c r="B3" s="14">
        <v>0.07</v>
      </c>
      <c r="C3" s="13">
        <v>0.01</v>
      </c>
      <c r="D3" s="17">
        <v>0.21</v>
      </c>
      <c r="E3" s="16">
        <f t="shared" si="1"/>
        <v>0.11</v>
      </c>
      <c r="F3" s="16">
        <f t="shared" si="2"/>
        <v>0.1</v>
      </c>
      <c r="G3" s="16">
        <f t="shared" si="3"/>
        <v>0.11</v>
      </c>
      <c r="H3" s="13">
        <v>7.276126189E9</v>
      </c>
      <c r="I3" s="13">
        <v>1.776939599E9</v>
      </c>
    </row>
    <row r="4">
      <c r="A4" s="13" t="s">
        <v>14</v>
      </c>
      <c r="B4" s="14">
        <v>0.08</v>
      </c>
      <c r="C4" s="13">
        <v>0.025</v>
      </c>
      <c r="D4" s="18">
        <v>0.175</v>
      </c>
      <c r="E4" s="16">
        <f t="shared" si="1"/>
        <v>0.1</v>
      </c>
      <c r="F4" s="16">
        <f t="shared" si="2"/>
        <v>0.075</v>
      </c>
      <c r="G4" s="16">
        <f t="shared" si="3"/>
        <v>0.1</v>
      </c>
      <c r="H4" s="13">
        <v>5.499973489E9</v>
      </c>
      <c r="I4" s="13">
        <v>8.530579613E9</v>
      </c>
    </row>
    <row r="5">
      <c r="A5" s="13" t="s">
        <v>15</v>
      </c>
      <c r="B5" s="14">
        <v>0.1</v>
      </c>
      <c r="C5" s="15">
        <v>0.0227</v>
      </c>
      <c r="D5" s="16">
        <f>B5+(B5-C5)</f>
        <v>0.1773</v>
      </c>
      <c r="E5" s="16">
        <f t="shared" si="1"/>
        <v>0.1</v>
      </c>
      <c r="F5" s="16">
        <f t="shared" si="2"/>
        <v>0.0773</v>
      </c>
      <c r="G5" s="16">
        <f t="shared" si="3"/>
        <v>0.1</v>
      </c>
      <c r="H5" s="13">
        <v>7.197249239E9</v>
      </c>
      <c r="I5" s="13">
        <v>1.909621843E9</v>
      </c>
    </row>
    <row r="6">
      <c r="A6" s="13" t="s">
        <v>16</v>
      </c>
      <c r="B6" s="14">
        <v>0.01</v>
      </c>
      <c r="C6" s="13">
        <v>0.008</v>
      </c>
      <c r="D6" s="13">
        <v>0.012</v>
      </c>
      <c r="E6" s="16">
        <f t="shared" si="1"/>
        <v>0.01</v>
      </c>
      <c r="F6" s="16">
        <f t="shared" si="2"/>
        <v>0.002</v>
      </c>
      <c r="G6" s="16">
        <f t="shared" si="3"/>
        <v>0.01</v>
      </c>
      <c r="H6" s="19">
        <v>9.765037697E9</v>
      </c>
      <c r="I6" s="13">
        <v>8.153781173E9</v>
      </c>
    </row>
    <row r="7">
      <c r="A7" s="13" t="s">
        <v>17</v>
      </c>
      <c r="B7" s="14">
        <v>0.5</v>
      </c>
      <c r="C7" s="13">
        <v>0.25</v>
      </c>
      <c r="D7" s="13">
        <v>1.5</v>
      </c>
      <c r="E7" s="16">
        <f t="shared" si="1"/>
        <v>0.875</v>
      </c>
      <c r="F7" s="16">
        <f t="shared" si="2"/>
        <v>0.625</v>
      </c>
      <c r="G7" s="16">
        <f t="shared" si="3"/>
        <v>0.875</v>
      </c>
      <c r="H7" s="13">
        <v>5.184725759E9</v>
      </c>
      <c r="I7" s="13">
        <v>8.846553293E9</v>
      </c>
    </row>
    <row r="8">
      <c r="A8" s="13" t="s">
        <v>18</v>
      </c>
      <c r="B8" s="14">
        <v>-0.12</v>
      </c>
      <c r="C8" s="16">
        <f>B8-(D8-B8)</f>
        <v>-0.202</v>
      </c>
      <c r="D8" s="14">
        <v>-0.038</v>
      </c>
      <c r="E8" s="16">
        <f t="shared" si="1"/>
        <v>-0.12</v>
      </c>
      <c r="F8" s="16">
        <f t="shared" si="2"/>
        <v>0.082</v>
      </c>
      <c r="G8" s="16">
        <f t="shared" si="3"/>
        <v>-0.12</v>
      </c>
      <c r="H8" s="20">
        <v>1.548255677E9</v>
      </c>
      <c r="I8" s="20">
        <v>5.660641043E9</v>
      </c>
      <c r="J8" s="21"/>
      <c r="K8" s="21"/>
      <c r="L8" s="20"/>
    </row>
    <row r="9">
      <c r="A9" s="16" t="str">
        <f t="shared" ref="A9:I9" si="4">TEXTJOIN(",",,A2:A8)</f>
        <v>Ua,Ui,Ga,Gi,Da,Di,Ba</v>
      </c>
      <c r="B9" s="16" t="str">
        <f t="shared" si="4"/>
        <v>0.03,0.07,0.08,0.1,0.01,0.5,-0.12</v>
      </c>
      <c r="C9" s="16" t="str">
        <f t="shared" si="4"/>
        <v>0.0083,0.01,0.025,0.0227,0.008,0.25,-0.202</v>
      </c>
      <c r="D9" s="16" t="str">
        <f t="shared" si="4"/>
        <v>0.0517,0.21,0.175,0.1773,0.012,1.5,-0.038</v>
      </c>
      <c r="E9" s="16" t="str">
        <f t="shared" si="4"/>
        <v>0.03,0.11,0.1,0.1,0.01,0.875,-0.12</v>
      </c>
      <c r="F9" s="16" t="str">
        <f t="shared" si="4"/>
        <v>0.0217,0.1,0.075,0.0773,0.002,0.625,0.082</v>
      </c>
      <c r="G9" s="16" t="str">
        <f t="shared" si="4"/>
        <v>0.03,0.11,0.1,0.1,0.01,0.875,-0.12</v>
      </c>
      <c r="H9" s="16" t="str">
        <f t="shared" si="4"/>
        <v>4252800263,7276126189,5499973489,7197249239,9765037697,5184725759,1548255677</v>
      </c>
      <c r="I9" s="16" t="str">
        <f t="shared" si="4"/>
        <v>8519335619,1776939599,8530579613,1909621843,8153781173,8846553293,5660641043</v>
      </c>
      <c r="J9" s="14"/>
      <c r="K9" s="14"/>
      <c r="L9" s="14"/>
    </row>
    <row r="10">
      <c r="F10" s="22"/>
      <c r="G10" s="22"/>
      <c r="H10" s="14"/>
      <c r="I10" s="14"/>
      <c r="J10" s="14"/>
      <c r="K10" s="14"/>
      <c r="L10" s="14"/>
    </row>
    <row r="11">
      <c r="A11" s="20" t="s">
        <v>19</v>
      </c>
      <c r="B11" s="21"/>
      <c r="C11" s="21" t="s">
        <v>4</v>
      </c>
      <c r="D11" s="21" t="s">
        <v>20</v>
      </c>
      <c r="E11" s="21" t="s">
        <v>21</v>
      </c>
      <c r="F11" s="21" t="s">
        <v>22</v>
      </c>
      <c r="G11" s="23" t="s">
        <v>23</v>
      </c>
      <c r="H11" s="17" t="s">
        <v>24</v>
      </c>
      <c r="I11" s="14"/>
      <c r="J11" s="14"/>
      <c r="K11" s="14"/>
      <c r="L11" s="14"/>
    </row>
    <row r="12">
      <c r="A12" s="21"/>
      <c r="B12" s="21"/>
      <c r="C12" s="21"/>
      <c r="D12" s="21"/>
      <c r="E12" s="21"/>
      <c r="F12" s="21"/>
      <c r="G12" s="22"/>
      <c r="H12" s="14"/>
      <c r="I12" s="14"/>
      <c r="J12" s="14"/>
      <c r="K12" s="14"/>
      <c r="L12" s="14"/>
    </row>
    <row r="13">
      <c r="A13" s="24" t="s">
        <v>12</v>
      </c>
      <c r="B13" s="24" t="s">
        <v>25</v>
      </c>
      <c r="C13" s="15">
        <v>0.03</v>
      </c>
      <c r="D13" s="15">
        <v>0.0083</v>
      </c>
      <c r="E13" s="15">
        <f t="shared" ref="E13:E18" si="5">AVERAGE(D13,F13)</f>
        <v>0.02265</v>
      </c>
      <c r="F13" s="15">
        <v>0.037</v>
      </c>
      <c r="G13" s="25">
        <f t="shared" ref="G13:G19" si="6">C13-D13</f>
        <v>0.0217</v>
      </c>
      <c r="H13" s="14">
        <f t="shared" ref="H13:H19" si="7">F13-C13</f>
        <v>0.007</v>
      </c>
      <c r="I13" s="14"/>
      <c r="J13" s="14"/>
      <c r="K13" s="14"/>
      <c r="L13" s="14"/>
    </row>
    <row r="14">
      <c r="A14" s="22" t="s">
        <v>13</v>
      </c>
      <c r="B14" s="22" t="s">
        <v>26</v>
      </c>
      <c r="C14" s="14">
        <v>0.07</v>
      </c>
      <c r="D14" s="14">
        <v>0.045</v>
      </c>
      <c r="E14" s="14">
        <f t="shared" si="5"/>
        <v>0.1425</v>
      </c>
      <c r="F14" s="14">
        <v>0.24</v>
      </c>
      <c r="G14" s="22">
        <f t="shared" si="6"/>
        <v>0.025</v>
      </c>
      <c r="H14" s="26">
        <f t="shared" si="7"/>
        <v>0.17</v>
      </c>
      <c r="I14" s="14"/>
      <c r="J14" s="14"/>
      <c r="K14" s="14"/>
      <c r="L14" s="14"/>
    </row>
    <row r="15">
      <c r="A15" s="24" t="s">
        <v>14</v>
      </c>
      <c r="B15" s="24" t="s">
        <v>27</v>
      </c>
      <c r="C15" s="15">
        <v>0.08</v>
      </c>
      <c r="D15" s="15">
        <v>0.075</v>
      </c>
      <c r="E15" s="15">
        <f t="shared" si="5"/>
        <v>0.1425</v>
      </c>
      <c r="F15" s="15">
        <v>0.21</v>
      </c>
      <c r="G15" s="22">
        <f t="shared" si="6"/>
        <v>0.005</v>
      </c>
      <c r="H15" s="26">
        <f t="shared" si="7"/>
        <v>0.13</v>
      </c>
      <c r="I15" s="14"/>
      <c r="J15" s="14"/>
      <c r="K15" s="14"/>
      <c r="L15" s="14"/>
    </row>
    <row r="16">
      <c r="A16" s="24" t="s">
        <v>15</v>
      </c>
      <c r="B16" s="24" t="s">
        <v>28</v>
      </c>
      <c r="C16" s="15">
        <v>0.1</v>
      </c>
      <c r="D16" s="15">
        <v>0.0227</v>
      </c>
      <c r="E16" s="15">
        <f t="shared" si="5"/>
        <v>0.07135</v>
      </c>
      <c r="F16" s="15">
        <v>0.12</v>
      </c>
      <c r="G16" s="25">
        <f t="shared" si="6"/>
        <v>0.0773</v>
      </c>
      <c r="H16" s="14">
        <f t="shared" si="7"/>
        <v>0.02</v>
      </c>
    </row>
    <row r="17">
      <c r="A17" s="22" t="s">
        <v>16</v>
      </c>
      <c r="B17" s="22" t="s">
        <v>29</v>
      </c>
      <c r="C17" s="14">
        <v>0.01</v>
      </c>
      <c r="D17" s="14">
        <v>0.0</v>
      </c>
      <c r="E17" s="14">
        <f t="shared" si="5"/>
        <v>0.0065</v>
      </c>
      <c r="F17" s="14">
        <v>0.013</v>
      </c>
      <c r="G17" s="25">
        <f t="shared" si="6"/>
        <v>0.01</v>
      </c>
      <c r="H17" s="14">
        <f t="shared" si="7"/>
        <v>0.003</v>
      </c>
    </row>
    <row r="18">
      <c r="A18" s="22" t="s">
        <v>17</v>
      </c>
      <c r="B18" s="22" t="s">
        <v>30</v>
      </c>
      <c r="C18" s="14">
        <v>0.5</v>
      </c>
      <c r="D18" s="14">
        <v>0.5</v>
      </c>
      <c r="E18" s="14">
        <f t="shared" si="5"/>
        <v>1.75</v>
      </c>
      <c r="F18" s="14">
        <v>3.0</v>
      </c>
      <c r="G18" s="22">
        <f t="shared" si="6"/>
        <v>0</v>
      </c>
      <c r="H18" s="26">
        <f t="shared" si="7"/>
        <v>2.5</v>
      </c>
    </row>
    <row r="19">
      <c r="A19" s="22" t="s">
        <v>18</v>
      </c>
      <c r="B19" s="22" t="s">
        <v>31</v>
      </c>
      <c r="C19" s="14">
        <v>-0.12</v>
      </c>
      <c r="D19" s="14">
        <v>-0.138</v>
      </c>
      <c r="E19" s="14">
        <v>1.0</v>
      </c>
      <c r="F19" s="14">
        <v>-0.038</v>
      </c>
      <c r="G19" s="22">
        <f t="shared" si="6"/>
        <v>0.018</v>
      </c>
      <c r="H19" s="26">
        <f t="shared" si="7"/>
        <v>0.082</v>
      </c>
    </row>
    <row r="21">
      <c r="A21" s="24"/>
      <c r="B21" s="24"/>
      <c r="C21" s="15"/>
      <c r="D21" s="15"/>
      <c r="E21" s="15"/>
      <c r="F21" s="15"/>
      <c r="G21" s="22"/>
      <c r="H21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</row>
    <row r="2">
      <c r="A2" s="13" t="s">
        <v>12</v>
      </c>
      <c r="B2" s="14">
        <v>0.03</v>
      </c>
      <c r="C2" s="18">
        <v>1.0E-6</v>
      </c>
      <c r="D2" s="13">
        <v>3.0</v>
      </c>
      <c r="E2" s="16">
        <f t="shared" ref="E2:E8" si="1">(C2+D2)/2</f>
        <v>1.5000005</v>
      </c>
      <c r="F2" s="16">
        <f t="shared" ref="F2:F8" si="2">(D2-C2)/2</f>
        <v>1.4999995</v>
      </c>
      <c r="G2" s="16">
        <f t="shared" ref="G2:G8" si="3">(D2+C2)/2</f>
        <v>1.5000005</v>
      </c>
      <c r="H2" s="13">
        <v>4.252800263E9</v>
      </c>
      <c r="I2" s="13">
        <v>8.519335619E9</v>
      </c>
    </row>
    <row r="3">
      <c r="A3" s="13" t="s">
        <v>13</v>
      </c>
      <c r="B3" s="14">
        <v>0.07</v>
      </c>
      <c r="C3" s="13">
        <v>1.0E-6</v>
      </c>
      <c r="D3" s="17">
        <v>3.0</v>
      </c>
      <c r="E3" s="16">
        <f t="shared" si="1"/>
        <v>1.5000005</v>
      </c>
      <c r="F3" s="16">
        <f t="shared" si="2"/>
        <v>1.4999995</v>
      </c>
      <c r="G3" s="16">
        <f t="shared" si="3"/>
        <v>1.5000005</v>
      </c>
      <c r="H3" s="13">
        <v>7.276126189E9</v>
      </c>
      <c r="I3" s="13">
        <v>1.776939599E9</v>
      </c>
    </row>
    <row r="4">
      <c r="A4" s="13" t="s">
        <v>14</v>
      </c>
      <c r="B4" s="14">
        <v>0.08</v>
      </c>
      <c r="C4" s="13">
        <v>1.0E-6</v>
      </c>
      <c r="D4" s="18">
        <v>3.0</v>
      </c>
      <c r="E4" s="16">
        <f t="shared" si="1"/>
        <v>1.5000005</v>
      </c>
      <c r="F4" s="16">
        <f t="shared" si="2"/>
        <v>1.4999995</v>
      </c>
      <c r="G4" s="16">
        <f t="shared" si="3"/>
        <v>1.5000005</v>
      </c>
      <c r="H4" s="13">
        <v>5.499973489E9</v>
      </c>
      <c r="I4" s="13">
        <v>8.530579613E9</v>
      </c>
    </row>
    <row r="5">
      <c r="A5" s="13" t="s">
        <v>15</v>
      </c>
      <c r="B5" s="14">
        <v>0.1</v>
      </c>
      <c r="C5" s="18">
        <v>1.0E-6</v>
      </c>
      <c r="D5" s="13">
        <v>3.0</v>
      </c>
      <c r="E5" s="16">
        <f t="shared" si="1"/>
        <v>1.5000005</v>
      </c>
      <c r="F5" s="16">
        <f t="shared" si="2"/>
        <v>1.4999995</v>
      </c>
      <c r="G5" s="16">
        <f t="shared" si="3"/>
        <v>1.5000005</v>
      </c>
      <c r="H5" s="13">
        <v>7.197249239E9</v>
      </c>
      <c r="I5" s="13">
        <v>1.909621843E9</v>
      </c>
    </row>
    <row r="6">
      <c r="A6" s="13" t="s">
        <v>16</v>
      </c>
      <c r="B6" s="14">
        <v>0.01</v>
      </c>
      <c r="C6" s="13">
        <v>1.0E-6</v>
      </c>
      <c r="D6" s="13">
        <v>3.0</v>
      </c>
      <c r="E6" s="16">
        <f t="shared" si="1"/>
        <v>1.5000005</v>
      </c>
      <c r="F6" s="16">
        <f t="shared" si="2"/>
        <v>1.4999995</v>
      </c>
      <c r="G6" s="16">
        <f t="shared" si="3"/>
        <v>1.5000005</v>
      </c>
      <c r="H6" s="19">
        <v>9.765037697E9</v>
      </c>
      <c r="I6" s="13">
        <v>8.153781173E9</v>
      </c>
    </row>
    <row r="7">
      <c r="A7" s="13" t="s">
        <v>17</v>
      </c>
      <c r="B7" s="14">
        <v>0.5</v>
      </c>
      <c r="C7" s="13">
        <v>1.0E-6</v>
      </c>
      <c r="D7" s="13">
        <v>10.0</v>
      </c>
      <c r="E7" s="16">
        <f t="shared" si="1"/>
        <v>5.0000005</v>
      </c>
      <c r="F7" s="16">
        <f t="shared" si="2"/>
        <v>4.9999995</v>
      </c>
      <c r="G7" s="16">
        <f t="shared" si="3"/>
        <v>5.0000005</v>
      </c>
      <c r="H7" s="13">
        <v>5.184725759E9</v>
      </c>
      <c r="I7" s="13">
        <v>8.846553293E9</v>
      </c>
    </row>
    <row r="8">
      <c r="A8" s="13" t="s">
        <v>18</v>
      </c>
      <c r="B8" s="14">
        <v>-0.12</v>
      </c>
      <c r="C8" s="13">
        <v>-3.0</v>
      </c>
      <c r="D8" s="17">
        <v>-1.0E-6</v>
      </c>
      <c r="E8" s="16">
        <f t="shared" si="1"/>
        <v>-1.5000005</v>
      </c>
      <c r="F8" s="16">
        <f t="shared" si="2"/>
        <v>1.4999995</v>
      </c>
      <c r="G8" s="16">
        <f t="shared" si="3"/>
        <v>-1.5000005</v>
      </c>
      <c r="H8" s="20">
        <v>1.548255677E9</v>
      </c>
      <c r="I8" s="20">
        <v>5.660641043E9</v>
      </c>
      <c r="J8" s="21"/>
      <c r="K8" s="21"/>
      <c r="L8" s="20"/>
    </row>
    <row r="9">
      <c r="A9" s="16" t="str">
        <f t="shared" ref="A9:I9" si="4">TEXTJOIN(",",,A2:A8)</f>
        <v>Ua,Ui,Ga,Gi,Da,Di,Ba</v>
      </c>
      <c r="B9" s="16" t="str">
        <f t="shared" si="4"/>
        <v>0.03,0.07,0.08,0.1,0.01,0.5,-0.12</v>
      </c>
      <c r="C9" s="16" t="str">
        <f t="shared" si="4"/>
        <v>0.000001,0.000001,0.000001,0.000001,0.000001,0.000001,-3</v>
      </c>
      <c r="D9" s="16" t="str">
        <f t="shared" si="4"/>
        <v>3,3,3,3,3,10,-0.000001</v>
      </c>
      <c r="E9" s="16" t="str">
        <f t="shared" si="4"/>
        <v>1.5000005,1.5000005,1.5000005,1.5000005,1.5000005,5.0000005,-1.5000005</v>
      </c>
      <c r="F9" s="16" t="str">
        <f t="shared" si="4"/>
        <v>1.4999995,1.4999995,1.4999995,1.4999995,1.4999995,4.9999995,1.4999995</v>
      </c>
      <c r="G9" s="16" t="str">
        <f t="shared" si="4"/>
        <v>1.5000005,1.5000005,1.5000005,1.5000005,1.5000005,5.0000005,-1.5000005</v>
      </c>
      <c r="H9" s="16" t="str">
        <f t="shared" si="4"/>
        <v>4252800263,7276126189,5499973489,7197249239,9765037697,5184725759,1548255677</v>
      </c>
      <c r="I9" s="16" t="str">
        <f t="shared" si="4"/>
        <v>8519335619,1776939599,8530579613,1909621843,8153781173,8846553293,5660641043</v>
      </c>
      <c r="J9" s="14"/>
      <c r="K9" s="14"/>
      <c r="L9" s="14"/>
    </row>
    <row r="10">
      <c r="F10" s="22"/>
      <c r="G10" s="22"/>
      <c r="H10" s="14"/>
      <c r="I10" s="14"/>
      <c r="J10" s="14"/>
      <c r="K10" s="14"/>
      <c r="L10" s="14"/>
    </row>
    <row r="11">
      <c r="A11" s="20" t="s">
        <v>19</v>
      </c>
      <c r="B11" s="21"/>
      <c r="C11" s="21" t="s">
        <v>4</v>
      </c>
      <c r="D11" s="21" t="s">
        <v>20</v>
      </c>
      <c r="E11" s="21" t="s">
        <v>21</v>
      </c>
      <c r="F11" s="21" t="s">
        <v>22</v>
      </c>
      <c r="G11" s="23" t="s">
        <v>23</v>
      </c>
      <c r="H11" s="17" t="s">
        <v>24</v>
      </c>
      <c r="I11" s="14"/>
      <c r="J11" s="14"/>
      <c r="K11" s="14"/>
      <c r="L11" s="14"/>
    </row>
    <row r="12">
      <c r="A12" s="21"/>
      <c r="B12" s="21"/>
      <c r="C12" s="21"/>
      <c r="D12" s="21"/>
      <c r="E12" s="21"/>
      <c r="F12" s="21"/>
      <c r="G12" s="22"/>
      <c r="H12" s="14"/>
      <c r="I12" s="14"/>
      <c r="J12" s="14"/>
      <c r="K12" s="14"/>
      <c r="L12" s="14"/>
    </row>
    <row r="13">
      <c r="A13" s="24" t="s">
        <v>12</v>
      </c>
      <c r="B13" s="24" t="s">
        <v>25</v>
      </c>
      <c r="C13" s="15">
        <v>0.03</v>
      </c>
      <c r="D13" s="15">
        <v>0.0083</v>
      </c>
      <c r="E13" s="15">
        <f t="shared" ref="E13:E18" si="5">AVERAGE(D13,F13)</f>
        <v>0.02265</v>
      </c>
      <c r="F13" s="15">
        <v>0.037</v>
      </c>
      <c r="G13" s="25">
        <f t="shared" ref="G13:G19" si="6">C13-D13</f>
        <v>0.0217</v>
      </c>
      <c r="H13" s="14">
        <f t="shared" ref="H13:H19" si="7">F13-C13</f>
        <v>0.007</v>
      </c>
      <c r="I13" s="14"/>
      <c r="J13" s="14"/>
      <c r="K13" s="14"/>
      <c r="L13" s="14"/>
    </row>
    <row r="14">
      <c r="A14" s="22" t="s">
        <v>13</v>
      </c>
      <c r="B14" s="22" t="s">
        <v>26</v>
      </c>
      <c r="C14" s="14">
        <v>0.07</v>
      </c>
      <c r="D14" s="14">
        <v>0.045</v>
      </c>
      <c r="E14" s="14">
        <f t="shared" si="5"/>
        <v>0.1425</v>
      </c>
      <c r="F14" s="14">
        <v>0.24</v>
      </c>
      <c r="G14" s="22">
        <f t="shared" si="6"/>
        <v>0.025</v>
      </c>
      <c r="H14" s="26">
        <f t="shared" si="7"/>
        <v>0.17</v>
      </c>
      <c r="I14" s="14"/>
      <c r="J14" s="14"/>
      <c r="K14" s="14"/>
      <c r="L14" s="14"/>
    </row>
    <row r="15">
      <c r="A15" s="24" t="s">
        <v>14</v>
      </c>
      <c r="B15" s="24" t="s">
        <v>27</v>
      </c>
      <c r="C15" s="15">
        <v>0.08</v>
      </c>
      <c r="D15" s="15">
        <v>0.075</v>
      </c>
      <c r="E15" s="15">
        <f t="shared" si="5"/>
        <v>0.1425</v>
      </c>
      <c r="F15" s="15">
        <v>0.21</v>
      </c>
      <c r="G15" s="22">
        <f t="shared" si="6"/>
        <v>0.005</v>
      </c>
      <c r="H15" s="26">
        <f t="shared" si="7"/>
        <v>0.13</v>
      </c>
      <c r="I15" s="14"/>
      <c r="J15" s="14"/>
      <c r="K15" s="14"/>
      <c r="L15" s="14"/>
    </row>
    <row r="16">
      <c r="A16" s="24" t="s">
        <v>15</v>
      </c>
      <c r="B16" s="24" t="s">
        <v>28</v>
      </c>
      <c r="C16" s="15">
        <v>0.1</v>
      </c>
      <c r="D16" s="15">
        <v>0.0227</v>
      </c>
      <c r="E16" s="15">
        <f t="shared" si="5"/>
        <v>0.07135</v>
      </c>
      <c r="F16" s="15">
        <v>0.12</v>
      </c>
      <c r="G16" s="25">
        <f t="shared" si="6"/>
        <v>0.0773</v>
      </c>
      <c r="H16" s="14">
        <f t="shared" si="7"/>
        <v>0.02</v>
      </c>
    </row>
    <row r="17">
      <c r="A17" s="22" t="s">
        <v>16</v>
      </c>
      <c r="B17" s="22" t="s">
        <v>29</v>
      </c>
      <c r="C17" s="14">
        <v>0.01</v>
      </c>
      <c r="D17" s="14">
        <v>0.0</v>
      </c>
      <c r="E17" s="14">
        <f t="shared" si="5"/>
        <v>0.0065</v>
      </c>
      <c r="F17" s="14">
        <v>0.013</v>
      </c>
      <c r="G17" s="25">
        <f t="shared" si="6"/>
        <v>0.01</v>
      </c>
      <c r="H17" s="14">
        <f t="shared" si="7"/>
        <v>0.003</v>
      </c>
    </row>
    <row r="18">
      <c r="A18" s="22" t="s">
        <v>17</v>
      </c>
      <c r="B18" s="22" t="s">
        <v>30</v>
      </c>
      <c r="C18" s="14">
        <v>0.5</v>
      </c>
      <c r="D18" s="14">
        <v>0.5</v>
      </c>
      <c r="E18" s="14">
        <f t="shared" si="5"/>
        <v>1.75</v>
      </c>
      <c r="F18" s="14">
        <v>3.0</v>
      </c>
      <c r="G18" s="22">
        <f t="shared" si="6"/>
        <v>0</v>
      </c>
      <c r="H18" s="26">
        <f t="shared" si="7"/>
        <v>2.5</v>
      </c>
    </row>
    <row r="19">
      <c r="A19" s="22" t="s">
        <v>18</v>
      </c>
      <c r="B19" s="22" t="s">
        <v>31</v>
      </c>
      <c r="C19" s="14">
        <v>-0.12</v>
      </c>
      <c r="D19" s="14">
        <v>-0.138</v>
      </c>
      <c r="E19" s="14">
        <v>1.0</v>
      </c>
      <c r="F19" s="14">
        <v>-0.038</v>
      </c>
      <c r="G19" s="22">
        <f t="shared" si="6"/>
        <v>0.018</v>
      </c>
      <c r="H19" s="26">
        <f t="shared" si="7"/>
        <v>0.082</v>
      </c>
    </row>
    <row r="21">
      <c r="A21" s="24"/>
      <c r="B21" s="24"/>
      <c r="C21" s="15"/>
      <c r="D21" s="15"/>
      <c r="E21" s="15"/>
      <c r="F21" s="15"/>
      <c r="G21" s="22"/>
      <c r="H21" s="14"/>
    </row>
  </sheetData>
  <drawing r:id="rId1"/>
</worksheet>
</file>