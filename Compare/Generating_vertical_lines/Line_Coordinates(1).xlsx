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<sst xmlns="http://schemas.openxmlformats.org/spreadsheetml/2006/main" count="373" uniqueCount="119">
  <si>
    <t>Image Number</t>
  </si>
  <si>
    <t>Line 1</t>
  </si>
  <si>
    <t>Line 2</t>
  </si>
  <si>
    <t>Line 3</t>
  </si>
  <si>
    <t>Line 4</t>
  </si>
  <si>
    <t>Line 5</t>
  </si>
  <si>
    <t>00</t>
  </si>
  <si>
    <t>205,468,68.5,187.5</t>
  </si>
  <si>
    <t>260.5,444.5,168.5,135.5</t>
  </si>
  <si>
    <t>293.5,68.5,305.5,433.5</t>
  </si>
  <si>
    <t>349.5,444.5,425.5,81.5</t>
  </si>
  <si>
    <t>405.5,459.5,518.5,171.5</t>
  </si>
  <si>
    <t>01</t>
  </si>
  <si>
    <t>158,442,9.5,138.5</t>
  </si>
  <si>
    <t>201.5,433.5,109.5,129.5</t>
  </si>
  <si>
    <t>268.5,451.5,266.5,80.5</t>
  </si>
  <si>
    <t>336.5,457.5,400.5,54.5</t>
  </si>
  <si>
    <t>386.5,477.5,529.5,95.5</t>
  </si>
  <si>
    <t>02</t>
  </si>
  <si>
    <t>187,464,24.5,157.5</t>
  </si>
  <si>
    <t>240.5,470.5,154.5,126.5</t>
  </si>
  <si>
    <t>308.5,484.5,290.5,90.5</t>
  </si>
  <si>
    <t>355.5,498.5,427.5,118.5</t>
  </si>
  <si>
    <t>404.5,531.5,529.5,181.5</t>
  </si>
  <si>
    <t>03</t>
  </si>
  <si>
    <t>158,496,30.5,181.5</t>
  </si>
  <si>
    <t>206.5,499.5,137.5,141.5</t>
  </si>
  <si>
    <t>261.5,486.5,261.5,75.5</t>
  </si>
  <si>
    <t>314.5,510.5,386.5,132.5</t>
  </si>
  <si>
    <t>373.5,515.5,512.5,163.5</t>
  </si>
  <si>
    <t>04</t>
  </si>
  <si>
    <t>154,498,31.5,152.5</t>
  </si>
  <si>
    <t>192.5,501.5,134.5,115.5</t>
  </si>
  <si>
    <t>271.5,525.5,277.5,88.5</t>
  </si>
  <si>
    <t>344.5,529.5,411.5,133.5</t>
  </si>
  <si>
    <t>395.5,530.5,509.5,165.5</t>
  </si>
  <si>
    <t>05</t>
  </si>
  <si>
    <t>176,468,62.5,163.5</t>
  </si>
  <si>
    <t>233.5,474.5,151.5,123.5</t>
  </si>
  <si>
    <t>272.5,474.5,272.5,119.5</t>
  </si>
  <si>
    <t>324.5,477.5,398.5,148.5</t>
  </si>
  <si>
    <t>366.5,483.5,486.5,181.5</t>
  </si>
  <si>
    <t>06</t>
  </si>
  <si>
    <t>69,187,141.5,489.5</t>
  </si>
  <si>
    <t>160.5,153.5,222.5,463.5</t>
  </si>
  <si>
    <t>268.5,133.5,277.5,451.5</t>
  </si>
  <si>
    <t>366.5,131.5,326.5,469.5</t>
  </si>
  <si>
    <t>471.5,208.5,393.5,499.5</t>
  </si>
  <si>
    <t>07</t>
  </si>
  <si>
    <t>60,198,207.5,480.5</t>
  </si>
  <si>
    <t>175.5,133.5,256.5,466.5</t>
  </si>
  <si>
    <t>299.5,61.5,311.5,467.5</t>
  </si>
  <si>
    <t>440.5,110.5,355.5,463.5</t>
  </si>
  <si>
    <t>529.5,173.5,430.5,463.5</t>
  </si>
  <si>
    <t>08</t>
  </si>
  <si>
    <t>67,178,160.5,437.5</t>
  </si>
  <si>
    <t>167.5,129.5,228.5,436.5</t>
  </si>
  <si>
    <t>287.5,85.5,290.5,425.5</t>
  </si>
  <si>
    <t>418.5,120.5,356.5,430.5</t>
  </si>
  <si>
    <t>508.5,166.5,404.5,441.5</t>
  </si>
  <si>
    <t>09</t>
  </si>
  <si>
    <t>84,186,160.5,444.5</t>
  </si>
  <si>
    <t>164.5,124.5,204.5,429.5</t>
  </si>
  <si>
    <t>271.5,456.5,257.5,59.5</t>
  </si>
  <si>
    <t>350.5,457.5,403.5,99.5</t>
  </si>
  <si>
    <t>417.5,481.5,528.5,161.5</t>
  </si>
  <si>
    <t>10</t>
  </si>
  <si>
    <t>57,178,162.5,442.5</t>
  </si>
  <si>
    <t>218.5,433.5,156.5,133.5</t>
  </si>
  <si>
    <t>263.5,437.5,248.5,70.5</t>
  </si>
  <si>
    <t>326.5,445.5,360.5,101.5</t>
  </si>
  <si>
    <t>369.5,465.5,483.5,166.5</t>
  </si>
  <si>
    <t>11</t>
  </si>
  <si>
    <t>185,480,42.5,169.5</t>
  </si>
  <si>
    <t>237.5,476.5,167.5,122.5</t>
  </si>
  <si>
    <t>291.5,473.5,290.5,82.5</t>
  </si>
  <si>
    <t>368.5,479.5,451.5,137.5</t>
  </si>
  <si>
    <t>420.5,487.5,524.5,170.5</t>
  </si>
  <si>
    <t>12</t>
  </si>
  <si>
    <t>219,452,42.5,186.5</t>
  </si>
  <si>
    <t>246.5,447.5,157.5,135.5</t>
  </si>
  <si>
    <t>294.5,445.5,271.5,62.5</t>
  </si>
  <si>
    <t>358.5,436.5,407.5,72.5</t>
  </si>
  <si>
    <t>406.5,446.5,513.5,148.5</t>
  </si>
  <si>
    <t>13</t>
  </si>
  <si>
    <t>177,498,41.5,181.5</t>
  </si>
  <si>
    <t>234.5,480.5,153.5,142.5</t>
  </si>
  <si>
    <t>292.5,478.5,280.5,101.5</t>
  </si>
  <si>
    <t>360.5,480.5,410.5,129.5</t>
  </si>
  <si>
    <t>404.5,492.5,532.5,204.5</t>
  </si>
  <si>
    <t>14</t>
  </si>
  <si>
    <t>206.000,489,63.500,209.5</t>
  </si>
  <si>
    <t>273.500,487.5,148.500,139.5</t>
  </si>
  <si>
    <t>310.500,482.5,273.500,92.5</t>
  </si>
  <si>
    <t>342.500,485.5,419.500,101.5</t>
  </si>
  <si>
    <t>410.500,497.5,533.500,165.5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</si>
  <si>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</si>
  <si>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</si>
  <si>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</si>
  <si>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</si>
  <si>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</si>
  <si>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</si>
  <si>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</si>
  <si>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</si>
  <si>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</si>
  <si>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</si>
  <si>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</si>
  <si>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</si>
  <si>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</si>
  <si>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Lines are linear and go through the middle of each petal, left to right. coords are shown as x1,y1,x2,y2, and 0,0 is the image top left</t>
  </si>
  <si>
    <t>Stack (green)0006.png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</si>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</sst>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</row>
    <row r="5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</row>
    <row r="6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</row>
    <row r="7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4"/>
    </row>
    <row r="9">
      <c r="A9" s="2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</row>
    <row r="10">
      <c r="A10" s="2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59</v>
      </c>
    </row>
    <row r="11">
      <c r="A11" s="2" t="s">
        <v>60</v>
      </c>
      <c r="B11" s="5" t="s">
        <v>61</v>
      </c>
      <c r="C11" s="5" t="s">
        <v>62</v>
      </c>
      <c r="D11" s="5" t="s">
        <v>63</v>
      </c>
      <c r="E11" s="5" t="s">
        <v>64</v>
      </c>
      <c r="F11" s="5" t="s">
        <v>65</v>
      </c>
    </row>
    <row r="12">
      <c r="A12" s="2" t="s">
        <v>66</v>
      </c>
      <c r="B12" s="5" t="s">
        <v>67</v>
      </c>
      <c r="C12" s="5" t="s">
        <v>68</v>
      </c>
      <c r="D12" s="5" t="s">
        <v>69</v>
      </c>
      <c r="E12" s="5" t="s">
        <v>70</v>
      </c>
      <c r="F12" s="5" t="s">
        <v>71</v>
      </c>
    </row>
    <row r="13">
      <c r="A13" s="2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</row>
    <row r="14">
      <c r="A14" s="2" t="s">
        <v>78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83</v>
      </c>
    </row>
    <row r="15">
      <c r="A15" s="2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5" t="s">
        <v>89</v>
      </c>
    </row>
    <row r="16">
      <c r="A16" s="2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95</v>
      </c>
    </row>
    <row r="17">
      <c r="A17" s="2" t="s">
        <v>96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</row>
    <row r="18">
      <c r="A18" s="2" t="s">
        <v>97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95</v>
      </c>
    </row>
    <row r="19">
      <c r="A19" s="2" t="s">
        <v>98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95</v>
      </c>
    </row>
    <row r="20">
      <c r="A20" s="2" t="s">
        <v>99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95</v>
      </c>
    </row>
    <row r="21">
      <c r="A21" s="2" t="s">
        <v>100</v>
      </c>
      <c r="B21" s="4" t="s">
        <v>91</v>
      </c>
      <c r="C21" s="4" t="s">
        <v>92</v>
      </c>
      <c r="D21" s="4" t="s">
        <v>93</v>
      </c>
      <c r="E21" s="4" t="s">
        <v>94</v>
      </c>
      <c r="F21" s="4" t="s">
        <v>95</v>
      </c>
    </row>
    <row r="22">
      <c r="A22" s="2" t="s">
        <v>101</v>
      </c>
      <c r="B22" s="4" t="s">
        <v>91</v>
      </c>
      <c r="C22" s="4" t="s">
        <v>92</v>
      </c>
      <c r="D22" s="4" t="s">
        <v>93</v>
      </c>
      <c r="E22" s="4" t="s">
        <v>94</v>
      </c>
      <c r="F22" s="4" t="s">
        <v>95</v>
      </c>
    </row>
    <row r="23">
      <c r="A23" s="2" t="s">
        <v>102</v>
      </c>
      <c r="B23" s="4" t="s">
        <v>91</v>
      </c>
      <c r="C23" s="4" t="s">
        <v>92</v>
      </c>
      <c r="D23" s="4" t="s">
        <v>93</v>
      </c>
      <c r="E23" s="4" t="s">
        <v>94</v>
      </c>
      <c r="F23" s="4" t="s">
        <v>95</v>
      </c>
    </row>
    <row r="24">
      <c r="A24" s="2" t="s">
        <v>103</v>
      </c>
      <c r="B24" s="4" t="s">
        <v>91</v>
      </c>
      <c r="C24" s="4" t="s">
        <v>92</v>
      </c>
      <c r="D24" s="4" t="s">
        <v>93</v>
      </c>
      <c r="E24" s="4" t="s">
        <v>94</v>
      </c>
      <c r="F24" s="4" t="s">
        <v>95</v>
      </c>
    </row>
    <row r="25">
      <c r="A25" s="2" t="s">
        <v>104</v>
      </c>
      <c r="B25" s="4" t="s">
        <v>91</v>
      </c>
      <c r="C25" s="4" t="s">
        <v>92</v>
      </c>
      <c r="D25" s="4" t="s">
        <v>93</v>
      </c>
      <c r="E25" s="4" t="s">
        <v>94</v>
      </c>
      <c r="F25" s="4" t="s">
        <v>95</v>
      </c>
    </row>
    <row r="26">
      <c r="A26" s="2" t="s">
        <v>105</v>
      </c>
      <c r="B26" s="4" t="s">
        <v>91</v>
      </c>
      <c r="C26" s="4" t="s">
        <v>92</v>
      </c>
      <c r="D26" s="4" t="s">
        <v>93</v>
      </c>
      <c r="E26" s="4" t="s">
        <v>94</v>
      </c>
      <c r="F26" s="4" t="s">
        <v>95</v>
      </c>
    </row>
    <row r="27">
      <c r="A27" s="2" t="s">
        <v>106</v>
      </c>
      <c r="B27" s="4" t="s">
        <v>91</v>
      </c>
      <c r="C27" s="4" t="s">
        <v>92</v>
      </c>
      <c r="D27" s="4" t="s">
        <v>93</v>
      </c>
      <c r="E27" s="4" t="s">
        <v>94</v>
      </c>
      <c r="F27" s="4" t="s">
        <v>95</v>
      </c>
    </row>
    <row r="28">
      <c r="A28" s="2" t="s">
        <v>107</v>
      </c>
      <c r="B28" s="4" t="s">
        <v>91</v>
      </c>
      <c r="C28" s="4" t="s">
        <v>92</v>
      </c>
      <c r="D28" s="4" t="s">
        <v>93</v>
      </c>
      <c r="E28" s="4" t="s">
        <v>94</v>
      </c>
      <c r="F28" s="4" t="s">
        <v>95</v>
      </c>
    </row>
    <row r="29">
      <c r="A29" s="2" t="s">
        <v>108</v>
      </c>
      <c r="B29" s="4" t="s">
        <v>91</v>
      </c>
      <c r="C29" s="4" t="s">
        <v>92</v>
      </c>
      <c r="D29" s="4" t="s">
        <v>93</v>
      </c>
      <c r="E29" s="4" t="s">
        <v>94</v>
      </c>
      <c r="F29" s="4" t="s">
        <v>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109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4"/>
    </row>
    <row r="4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4"/>
    </row>
    <row r="5">
      <c r="A5" s="2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4"/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4"/>
      <c r="P6" s="5"/>
    </row>
    <row r="7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4"/>
      <c r="P7" s="5"/>
    </row>
    <row r="8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4"/>
      <c r="P8" s="5"/>
    </row>
    <row r="9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4"/>
      <c r="P9" s="5"/>
    </row>
    <row r="10">
      <c r="A10" s="2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  <c r="G10" s="4"/>
      <c r="P10" s="5"/>
    </row>
    <row r="11">
      <c r="A11" s="2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4"/>
    </row>
    <row r="12">
      <c r="A12" s="2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4"/>
    </row>
    <row r="13">
      <c r="A13" s="2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71</v>
      </c>
      <c r="G13" s="4"/>
    </row>
    <row r="14">
      <c r="A14" s="2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  <c r="G14" s="4"/>
    </row>
    <row r="15">
      <c r="A15" s="2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83</v>
      </c>
      <c r="G15" s="4"/>
      <c r="K15" s="1">
        <v>1.0</v>
      </c>
      <c r="L15" s="1" t="s">
        <v>110</v>
      </c>
      <c r="M15" s="1">
        <v>69.0</v>
      </c>
      <c r="N15" s="1">
        <v>187.0</v>
      </c>
      <c r="O15" s="3" t="str">
        <f>IFERROR(__xludf.DUMMYFUNCTION("JOIN("","",M15,N15,M16,N16)"),"69,187,141.5,489.5")</f>
        <v>69,187,141.5,489.5</v>
      </c>
      <c r="Q15" s="3" t="s">
        <v>43</v>
      </c>
    </row>
    <row r="16">
      <c r="A16" s="2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  <c r="G16" s="2"/>
      <c r="H16" s="2"/>
      <c r="K16" s="2" t="s">
        <v>111</v>
      </c>
      <c r="L16" s="1" t="s">
        <v>110</v>
      </c>
      <c r="M16" s="1">
        <v>141.5</v>
      </c>
      <c r="N16" s="1">
        <v>489.5</v>
      </c>
      <c r="O16" s="3" t="str">
        <f>IFERROR(__xludf.DUMMYFUNCTION("JOIN("","",M16,N16,M17,N17)"),"141.5,489.5,160.5,153.5")</f>
        <v>141.5,489.5,160.5,153.5</v>
      </c>
      <c r="Q16" s="3" t="s">
        <v>44</v>
      </c>
    </row>
    <row r="17">
      <c r="A17" s="2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95</v>
      </c>
      <c r="G17" s="2"/>
      <c r="H17" s="2"/>
      <c r="K17" s="2" t="s">
        <v>112</v>
      </c>
      <c r="L17" s="1" t="s">
        <v>110</v>
      </c>
      <c r="M17" s="1">
        <v>160.5</v>
      </c>
      <c r="N17" s="1">
        <v>153.5</v>
      </c>
      <c r="O17" s="3" t="str">
        <f>IFERROR(__xludf.DUMMYFUNCTION("JOIN("","",M17,N17,M18,N18)"),"160.5,153.5,222.5,463.5")</f>
        <v>160.5,153.5,222.5,463.5</v>
      </c>
      <c r="Q17" s="3" t="s">
        <v>45</v>
      </c>
    </row>
    <row r="18">
      <c r="A18" s="2" t="s">
        <v>96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95</v>
      </c>
      <c r="G18" s="2"/>
      <c r="H18" s="2"/>
      <c r="K18" s="2" t="s">
        <v>113</v>
      </c>
      <c r="L18" s="1" t="s">
        <v>110</v>
      </c>
      <c r="M18" s="1">
        <v>222.5</v>
      </c>
      <c r="N18" s="1">
        <v>463.5</v>
      </c>
      <c r="O18" s="3" t="str">
        <f>IFERROR(__xludf.DUMMYFUNCTION("JOIN("","",M18,N18,M19,N19)"),"222.5,463.5,268.5,133.5")</f>
        <v>222.5,463.5,268.5,133.5</v>
      </c>
      <c r="Q18" s="3" t="s">
        <v>46</v>
      </c>
    </row>
    <row r="19">
      <c r="A19" s="2" t="s">
        <v>97</v>
      </c>
      <c r="B19" s="4" t="s">
        <v>91</v>
      </c>
      <c r="C19" s="4" t="s">
        <v>92</v>
      </c>
      <c r="D19" s="4" t="s">
        <v>93</v>
      </c>
      <c r="E19" s="4" t="s">
        <v>94</v>
      </c>
      <c r="F19" s="4" t="s">
        <v>95</v>
      </c>
      <c r="G19" s="2"/>
      <c r="H19" s="2"/>
      <c r="K19" s="2" t="s">
        <v>114</v>
      </c>
      <c r="L19" s="1" t="s">
        <v>110</v>
      </c>
      <c r="M19" s="1">
        <v>268.5</v>
      </c>
      <c r="N19" s="1">
        <v>133.5</v>
      </c>
      <c r="O19" s="3" t="str">
        <f>IFERROR(__xludf.DUMMYFUNCTION("JOIN("","",M19,N19,M20,N20)"),"268.5,133.5,277.5,451.5")</f>
        <v>268.5,133.5,277.5,451.5</v>
      </c>
      <c r="Q19" s="3" t="s">
        <v>47</v>
      </c>
    </row>
    <row r="20">
      <c r="A20" s="2" t="s">
        <v>98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95</v>
      </c>
      <c r="G20" s="2"/>
      <c r="H20" s="2"/>
      <c r="K20" s="2" t="s">
        <v>115</v>
      </c>
      <c r="L20" s="1" t="s">
        <v>110</v>
      </c>
      <c r="M20" s="1">
        <v>277.5</v>
      </c>
      <c r="N20" s="1">
        <v>451.5</v>
      </c>
      <c r="O20" s="3" t="str">
        <f>IFERROR(__xludf.DUMMYFUNCTION("JOIN("","",M20,N20,M21,N21)"),"277.5,451.5,366.5,131.5")</f>
        <v>277.5,451.5,366.5,131.5</v>
      </c>
    </row>
    <row r="21">
      <c r="A21" s="2" t="s">
        <v>99</v>
      </c>
      <c r="B21" s="4" t="s">
        <v>91</v>
      </c>
      <c r="C21" s="4" t="s">
        <v>92</v>
      </c>
      <c r="D21" s="4" t="s">
        <v>93</v>
      </c>
      <c r="E21" s="4" t="s">
        <v>94</v>
      </c>
      <c r="F21" s="4" t="s">
        <v>95</v>
      </c>
      <c r="G21" s="2"/>
      <c r="H21" s="2"/>
      <c r="K21" s="2" t="s">
        <v>116</v>
      </c>
      <c r="L21" s="1" t="s">
        <v>110</v>
      </c>
      <c r="M21" s="1">
        <v>366.5</v>
      </c>
      <c r="N21" s="1">
        <v>131.5</v>
      </c>
      <c r="O21" s="3" t="str">
        <f>IFERROR(__xludf.DUMMYFUNCTION("JOIN("","",M21,N21,M22,N22)"),"366.5,131.5,326.5,469.5")</f>
        <v>366.5,131.5,326.5,469.5</v>
      </c>
    </row>
    <row r="22">
      <c r="A22" s="2" t="s">
        <v>100</v>
      </c>
      <c r="B22" s="4" t="s">
        <v>91</v>
      </c>
      <c r="C22" s="4" t="s">
        <v>92</v>
      </c>
      <c r="D22" s="4" t="s">
        <v>93</v>
      </c>
      <c r="E22" s="4" t="s">
        <v>94</v>
      </c>
      <c r="F22" s="4" t="s">
        <v>95</v>
      </c>
      <c r="G22" s="2"/>
      <c r="H22" s="2"/>
      <c r="K22" s="2" t="s">
        <v>117</v>
      </c>
      <c r="L22" s="1" t="s">
        <v>110</v>
      </c>
      <c r="M22" s="1">
        <v>326.5</v>
      </c>
      <c r="N22" s="1">
        <v>469.5</v>
      </c>
      <c r="O22" s="3" t="str">
        <f>IFERROR(__xludf.DUMMYFUNCTION("JOIN("","",M22,N22,M23,N23)"),"326.5,469.5,471.5,208.5")</f>
        <v>326.5,469.5,471.5,208.5</v>
      </c>
    </row>
    <row r="23">
      <c r="A23" s="2" t="s">
        <v>101</v>
      </c>
      <c r="B23" s="4" t="s">
        <v>91</v>
      </c>
      <c r="C23" s="4" t="s">
        <v>92</v>
      </c>
      <c r="D23" s="4" t="s">
        <v>93</v>
      </c>
      <c r="E23" s="4" t="s">
        <v>94</v>
      </c>
      <c r="F23" s="4" t="s">
        <v>95</v>
      </c>
      <c r="G23" s="2"/>
      <c r="H23" s="2"/>
      <c r="K23" s="2" t="s">
        <v>118</v>
      </c>
      <c r="L23" s="1" t="s">
        <v>110</v>
      </c>
      <c r="M23" s="1">
        <v>471.5</v>
      </c>
      <c r="N23" s="1">
        <v>208.5</v>
      </c>
      <c r="O23" s="3" t="str">
        <f>IFERROR(__xludf.DUMMYFUNCTION("JOIN("","",M23,N23,M24,N24)"),"471.5,208.5,393.5,499.5")</f>
        <v>471.5,208.5,393.5,499.5</v>
      </c>
    </row>
    <row r="24">
      <c r="A24" s="2" t="s">
        <v>102</v>
      </c>
      <c r="B24" s="4" t="s">
        <v>91</v>
      </c>
      <c r="C24" s="4" t="s">
        <v>92</v>
      </c>
      <c r="D24" s="4" t="s">
        <v>93</v>
      </c>
      <c r="E24" s="4" t="s">
        <v>94</v>
      </c>
      <c r="F24" s="4" t="s">
        <v>95</v>
      </c>
      <c r="G24" s="2"/>
      <c r="H24" s="2"/>
      <c r="K24" s="2" t="s">
        <v>66</v>
      </c>
      <c r="L24" s="1" t="s">
        <v>110</v>
      </c>
      <c r="M24" s="1">
        <v>393.5</v>
      </c>
      <c r="N24" s="1">
        <v>499.5</v>
      </c>
      <c r="O24" s="3" t="str">
        <f>IFERROR(__xludf.DUMMYFUNCTION("JOIN("","",M24,N24,M25,N25)"),"393.5,499.5,,")</f>
        <v>393.5,499.5,,</v>
      </c>
    </row>
    <row r="25">
      <c r="A25" s="2" t="s">
        <v>103</v>
      </c>
      <c r="B25" s="4" t="s">
        <v>91</v>
      </c>
      <c r="C25" s="4" t="s">
        <v>92</v>
      </c>
      <c r="D25" s="4" t="s">
        <v>93</v>
      </c>
      <c r="E25" s="4" t="s">
        <v>94</v>
      </c>
      <c r="F25" s="4" t="s">
        <v>95</v>
      </c>
      <c r="G25" s="2"/>
      <c r="H25" s="2"/>
      <c r="K25" s="4"/>
    </row>
    <row r="26">
      <c r="A26" s="2" t="s">
        <v>104</v>
      </c>
      <c r="B26" s="4" t="s">
        <v>91</v>
      </c>
      <c r="C26" s="4" t="s">
        <v>92</v>
      </c>
      <c r="D26" s="4" t="s">
        <v>93</v>
      </c>
      <c r="E26" s="4" t="s">
        <v>94</v>
      </c>
      <c r="F26" s="4" t="s">
        <v>95</v>
      </c>
      <c r="G26" s="2"/>
    </row>
    <row r="27">
      <c r="A27" s="2" t="s">
        <v>105</v>
      </c>
      <c r="B27" s="4" t="s">
        <v>91</v>
      </c>
      <c r="C27" s="4" t="s">
        <v>92</v>
      </c>
      <c r="D27" s="4" t="s">
        <v>93</v>
      </c>
      <c r="E27" s="4" t="s">
        <v>94</v>
      </c>
      <c r="F27" s="4" t="s">
        <v>95</v>
      </c>
      <c r="G27" s="2"/>
    </row>
    <row r="28">
      <c r="A28" s="2" t="s">
        <v>106</v>
      </c>
      <c r="B28" s="4" t="s">
        <v>91</v>
      </c>
      <c r="C28" s="4" t="s">
        <v>92</v>
      </c>
      <c r="D28" s="4" t="s">
        <v>93</v>
      </c>
      <c r="E28" s="4" t="s">
        <v>94</v>
      </c>
      <c r="F28" s="4" t="s">
        <v>95</v>
      </c>
      <c r="G28" s="2"/>
    </row>
    <row r="29">
      <c r="A29" s="2" t="s">
        <v>107</v>
      </c>
      <c r="B29" s="4" t="s">
        <v>91</v>
      </c>
      <c r="C29" s="4" t="s">
        <v>92</v>
      </c>
      <c r="D29" s="4" t="s">
        <v>93</v>
      </c>
      <c r="E29" s="4" t="s">
        <v>94</v>
      </c>
      <c r="F29" s="4" t="s">
        <v>95</v>
      </c>
      <c r="G29" s="2"/>
    </row>
    <row r="30">
      <c r="A30" s="2" t="s">
        <v>108</v>
      </c>
      <c r="B30" s="4" t="s">
        <v>91</v>
      </c>
      <c r="C30" s="4" t="s">
        <v>92</v>
      </c>
      <c r="D30" s="4" t="s">
        <v>93</v>
      </c>
      <c r="E30" s="4" t="s">
        <v>94</v>
      </c>
      <c r="F30" s="4" t="s">
        <v>95</v>
      </c>
      <c r="G30" s="2"/>
    </row>
    <row r="31">
      <c r="A31" s="2"/>
      <c r="B31" s="4"/>
      <c r="C31" s="4"/>
      <c r="D31" s="4"/>
      <c r="E31" s="4"/>
      <c r="F31" s="4"/>
      <c r="G31" s="4"/>
    </row>
    <row r="32">
      <c r="A32" s="4"/>
      <c r="B32" s="4"/>
      <c r="C32" s="4"/>
      <c r="D32" s="4"/>
      <c r="E32" s="4"/>
      <c r="F32" s="4"/>
      <c r="G32" s="4"/>
    </row>
    <row r="33">
      <c r="A33" s="4"/>
      <c r="B33" s="4"/>
      <c r="C33" s="4"/>
      <c r="D33" s="4"/>
      <c r="E33" s="4"/>
      <c r="F33" s="4"/>
      <c r="G33" s="4"/>
    </row>
    <row r="34">
      <c r="A34" s="4"/>
      <c r="F34" s="4"/>
    </row>
    <row r="35">
      <c r="A35" s="4"/>
      <c r="F35" s="4"/>
    </row>
    <row r="36">
      <c r="A36" s="4"/>
      <c r="F36" s="4"/>
    </row>
    <row r="37">
      <c r="A37" s="4"/>
      <c r="F37" s="4"/>
    </row>
    <row r="38">
      <c r="A38" s="4"/>
      <c r="F38" s="4"/>
    </row>
    <row r="39">
      <c r="A39" s="4"/>
      <c r="F39" s="4"/>
    </row>
    <row r="40">
      <c r="A40" s="4"/>
      <c r="F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